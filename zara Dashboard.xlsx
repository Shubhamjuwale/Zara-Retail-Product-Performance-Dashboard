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Excel\Zara sales\"/>
    </mc:Choice>
  </mc:AlternateContent>
  <bookViews>
    <workbookView xWindow="0" yWindow="0" windowWidth="14865" windowHeight="4485"/>
  </bookViews>
  <sheets>
    <sheet name="Dashboard" sheetId="2" r:id="rId1"/>
    <sheet name="zara(unclean)" sheetId="1" r:id="rId2"/>
    <sheet name="zara" sheetId="3" r:id="rId3"/>
    <sheet name="Pivot tables" sheetId="4" r:id="rId4"/>
  </sheets>
  <definedNames>
    <definedName name="Slicer_Column1">#N/A</definedName>
    <definedName name="Slicer_Price_Range_Category">#N/A</definedName>
    <definedName name="Slicer_Product_Position">#N/A</definedName>
    <definedName name="Slicer_section">#N/A</definedName>
    <definedName name="Slicer_terms">#N/A</definedName>
  </definedNames>
  <calcPr calcId="152511"/>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R253" i="3" l="1"/>
  <c r="Q253" i="3"/>
  <c r="P253" i="3"/>
  <c r="M253" i="3"/>
  <c r="R252" i="3"/>
  <c r="Q252" i="3"/>
  <c r="P252" i="3"/>
  <c r="M252" i="3"/>
  <c r="R251" i="3"/>
  <c r="Q251" i="3"/>
  <c r="P251" i="3"/>
  <c r="M251" i="3"/>
  <c r="R250" i="3"/>
  <c r="Q250" i="3"/>
  <c r="P250" i="3"/>
  <c r="M250" i="3"/>
  <c r="R249" i="3"/>
  <c r="Q249" i="3"/>
  <c r="P249" i="3"/>
  <c r="M249" i="3"/>
  <c r="R248" i="3"/>
  <c r="Q248" i="3"/>
  <c r="P248" i="3"/>
  <c r="M248" i="3"/>
  <c r="R247" i="3"/>
  <c r="Q247" i="3"/>
  <c r="P247" i="3"/>
  <c r="M247" i="3"/>
  <c r="R246" i="3"/>
  <c r="Q246" i="3"/>
  <c r="P246" i="3"/>
  <c r="M246" i="3"/>
  <c r="R245" i="3"/>
  <c r="Q245" i="3"/>
  <c r="P245" i="3"/>
  <c r="M245" i="3"/>
  <c r="R244" i="3"/>
  <c r="Q244" i="3"/>
  <c r="P244" i="3"/>
  <c r="M244" i="3"/>
  <c r="R243" i="3"/>
  <c r="Q243" i="3"/>
  <c r="P243" i="3"/>
  <c r="M243" i="3"/>
  <c r="R242" i="3"/>
  <c r="Q242" i="3"/>
  <c r="P242" i="3"/>
  <c r="M242" i="3"/>
  <c r="R241" i="3"/>
  <c r="Q241" i="3"/>
  <c r="P241" i="3"/>
  <c r="M241" i="3"/>
  <c r="R240" i="3"/>
  <c r="Q240" i="3"/>
  <c r="P240" i="3"/>
  <c r="M240" i="3"/>
  <c r="R239" i="3"/>
  <c r="Q239" i="3"/>
  <c r="P239" i="3"/>
  <c r="M239" i="3"/>
  <c r="R238" i="3"/>
  <c r="Q238" i="3"/>
  <c r="P238" i="3"/>
  <c r="M238" i="3"/>
  <c r="R237" i="3"/>
  <c r="Q237" i="3"/>
  <c r="P237" i="3"/>
  <c r="M237" i="3"/>
  <c r="R236" i="3"/>
  <c r="Q236" i="3"/>
  <c r="P236" i="3"/>
  <c r="M236" i="3"/>
  <c r="R235" i="3"/>
  <c r="Q235" i="3"/>
  <c r="P235" i="3"/>
  <c r="M235" i="3"/>
  <c r="R234" i="3"/>
  <c r="Q234" i="3"/>
  <c r="P234" i="3"/>
  <c r="M234" i="3"/>
  <c r="R233" i="3"/>
  <c r="Q233" i="3"/>
  <c r="P233" i="3"/>
  <c r="M233" i="3"/>
  <c r="R232" i="3"/>
  <c r="Q232" i="3"/>
  <c r="P232" i="3"/>
  <c r="M232" i="3"/>
  <c r="R231" i="3"/>
  <c r="Q231" i="3"/>
  <c r="P231" i="3"/>
  <c r="M231" i="3"/>
  <c r="R230" i="3"/>
  <c r="Q230" i="3"/>
  <c r="P230" i="3"/>
  <c r="M230" i="3"/>
  <c r="R229" i="3"/>
  <c r="Q229" i="3"/>
  <c r="P229" i="3"/>
  <c r="M229" i="3"/>
  <c r="R228" i="3"/>
  <c r="Q228" i="3"/>
  <c r="P228" i="3"/>
  <c r="M228" i="3"/>
  <c r="R227" i="3"/>
  <c r="Q227" i="3"/>
  <c r="P227" i="3"/>
  <c r="M227" i="3"/>
  <c r="R226" i="3"/>
  <c r="Q226" i="3"/>
  <c r="P226" i="3"/>
  <c r="M226" i="3"/>
  <c r="R225" i="3"/>
  <c r="Q225" i="3"/>
  <c r="P225" i="3"/>
  <c r="M225" i="3"/>
  <c r="R224" i="3"/>
  <c r="Q224" i="3"/>
  <c r="P224" i="3"/>
  <c r="M224" i="3"/>
  <c r="R223" i="3"/>
  <c r="Q223" i="3"/>
  <c r="P223" i="3"/>
  <c r="M223" i="3"/>
  <c r="R222" i="3"/>
  <c r="Q222" i="3"/>
  <c r="P222" i="3"/>
  <c r="M222" i="3"/>
  <c r="R221" i="3"/>
  <c r="Q221" i="3"/>
  <c r="P221" i="3"/>
  <c r="M221" i="3"/>
  <c r="R220" i="3"/>
  <c r="Q220" i="3"/>
  <c r="P220" i="3"/>
  <c r="M220" i="3"/>
  <c r="R219" i="3"/>
  <c r="Q219" i="3"/>
  <c r="P219" i="3"/>
  <c r="M219" i="3"/>
  <c r="R218" i="3"/>
  <c r="Q218" i="3"/>
  <c r="P218" i="3"/>
  <c r="M218" i="3"/>
  <c r="R217" i="3"/>
  <c r="Q217" i="3"/>
  <c r="P217" i="3"/>
  <c r="M217" i="3"/>
  <c r="R216" i="3"/>
  <c r="Q216" i="3"/>
  <c r="P216" i="3"/>
  <c r="M216" i="3"/>
  <c r="R215" i="3"/>
  <c r="Q215" i="3"/>
  <c r="P215" i="3"/>
  <c r="M215" i="3"/>
  <c r="R214" i="3"/>
  <c r="Q214" i="3"/>
  <c r="P214" i="3"/>
  <c r="M214" i="3"/>
  <c r="R213" i="3"/>
  <c r="Q213" i="3"/>
  <c r="P213" i="3"/>
  <c r="M213" i="3"/>
  <c r="R212" i="3"/>
  <c r="Q212" i="3"/>
  <c r="P212" i="3"/>
  <c r="M212" i="3"/>
  <c r="R211" i="3"/>
  <c r="Q211" i="3"/>
  <c r="P211" i="3"/>
  <c r="M211" i="3"/>
  <c r="R210" i="3"/>
  <c r="Q210" i="3"/>
  <c r="P210" i="3"/>
  <c r="M210" i="3"/>
  <c r="R209" i="3"/>
  <c r="Q209" i="3"/>
  <c r="P209" i="3"/>
  <c r="M209" i="3"/>
  <c r="R208" i="3"/>
  <c r="Q208" i="3"/>
  <c r="P208" i="3"/>
  <c r="M208" i="3"/>
  <c r="R207" i="3"/>
  <c r="Q207" i="3"/>
  <c r="P207" i="3"/>
  <c r="M207" i="3"/>
  <c r="R206" i="3"/>
  <c r="Q206" i="3"/>
  <c r="P206" i="3"/>
  <c r="M206" i="3"/>
  <c r="R205" i="3"/>
  <c r="Q205" i="3"/>
  <c r="P205" i="3"/>
  <c r="M205" i="3"/>
  <c r="R204" i="3"/>
  <c r="Q204" i="3"/>
  <c r="P204" i="3"/>
  <c r="M204" i="3"/>
  <c r="R203" i="3"/>
  <c r="Q203" i="3"/>
  <c r="P203" i="3"/>
  <c r="M203" i="3"/>
  <c r="R202" i="3"/>
  <c r="Q202" i="3"/>
  <c r="P202" i="3"/>
  <c r="M202" i="3"/>
  <c r="R201" i="3"/>
  <c r="Q201" i="3"/>
  <c r="P201" i="3"/>
  <c r="M201" i="3"/>
  <c r="R200" i="3"/>
  <c r="Q200" i="3"/>
  <c r="P200" i="3"/>
  <c r="M200" i="3"/>
  <c r="R199" i="3"/>
  <c r="Q199" i="3"/>
  <c r="P199" i="3"/>
  <c r="M199" i="3"/>
  <c r="R198" i="3"/>
  <c r="Q198" i="3"/>
  <c r="P198" i="3"/>
  <c r="M198" i="3"/>
  <c r="R197" i="3"/>
  <c r="Q197" i="3"/>
  <c r="P197" i="3"/>
  <c r="M197" i="3"/>
  <c r="R196" i="3"/>
  <c r="Q196" i="3"/>
  <c r="P196" i="3"/>
  <c r="M196" i="3"/>
  <c r="R195" i="3"/>
  <c r="Q195" i="3"/>
  <c r="P195" i="3"/>
  <c r="M195" i="3"/>
  <c r="R194" i="3"/>
  <c r="Q194" i="3"/>
  <c r="P194" i="3"/>
  <c r="M194" i="3"/>
  <c r="R193" i="3"/>
  <c r="Q193" i="3"/>
  <c r="P193" i="3"/>
  <c r="M193" i="3"/>
  <c r="R192" i="3"/>
  <c r="Q192" i="3"/>
  <c r="P192" i="3"/>
  <c r="M192" i="3"/>
  <c r="R191" i="3"/>
  <c r="Q191" i="3"/>
  <c r="P191" i="3"/>
  <c r="M191" i="3"/>
  <c r="R190" i="3"/>
  <c r="Q190" i="3"/>
  <c r="P190" i="3"/>
  <c r="M190" i="3"/>
  <c r="R189" i="3"/>
  <c r="Q189" i="3"/>
  <c r="P189" i="3"/>
  <c r="M189" i="3"/>
  <c r="R188" i="3"/>
  <c r="Q188" i="3"/>
  <c r="P188" i="3"/>
  <c r="M188" i="3"/>
  <c r="R187" i="3"/>
  <c r="Q187" i="3"/>
  <c r="P187" i="3"/>
  <c r="M187" i="3"/>
  <c r="R186" i="3"/>
  <c r="Q186" i="3"/>
  <c r="P186" i="3"/>
  <c r="M186" i="3"/>
  <c r="R185" i="3"/>
  <c r="Q185" i="3"/>
  <c r="P185" i="3"/>
  <c r="M185" i="3"/>
  <c r="R184" i="3"/>
  <c r="Q184" i="3"/>
  <c r="P184" i="3"/>
  <c r="M184" i="3"/>
  <c r="R183" i="3"/>
  <c r="Q183" i="3"/>
  <c r="P183" i="3"/>
  <c r="M183" i="3"/>
  <c r="R182" i="3"/>
  <c r="Q182" i="3"/>
  <c r="P182" i="3"/>
  <c r="M182" i="3"/>
  <c r="R181" i="3"/>
  <c r="Q181" i="3"/>
  <c r="P181" i="3"/>
  <c r="M181" i="3"/>
  <c r="R180" i="3"/>
  <c r="Q180" i="3"/>
  <c r="P180" i="3"/>
  <c r="M180" i="3"/>
  <c r="R179" i="3"/>
  <c r="Q179" i="3"/>
  <c r="P179" i="3"/>
  <c r="M179" i="3"/>
  <c r="R178" i="3"/>
  <c r="Q178" i="3"/>
  <c r="P178" i="3"/>
  <c r="M178" i="3"/>
  <c r="R177" i="3"/>
  <c r="Q177" i="3"/>
  <c r="P177" i="3"/>
  <c r="M177" i="3"/>
  <c r="R176" i="3"/>
  <c r="Q176" i="3"/>
  <c r="P176" i="3"/>
  <c r="M176" i="3"/>
  <c r="R175" i="3"/>
  <c r="Q175" i="3"/>
  <c r="P175" i="3"/>
  <c r="M175" i="3"/>
  <c r="R174" i="3"/>
  <c r="Q174" i="3"/>
  <c r="P174" i="3"/>
  <c r="M174" i="3"/>
  <c r="R173" i="3"/>
  <c r="Q173" i="3"/>
  <c r="P173" i="3"/>
  <c r="M173" i="3"/>
  <c r="R172" i="3"/>
  <c r="Q172" i="3"/>
  <c r="P172" i="3"/>
  <c r="M172" i="3"/>
  <c r="R171" i="3"/>
  <c r="Q171" i="3"/>
  <c r="P171" i="3"/>
  <c r="M171" i="3"/>
  <c r="R170" i="3"/>
  <c r="Q170" i="3"/>
  <c r="P170" i="3"/>
  <c r="M170" i="3"/>
  <c r="R169" i="3"/>
  <c r="Q169" i="3"/>
  <c r="P169" i="3"/>
  <c r="M169" i="3"/>
  <c r="R168" i="3"/>
  <c r="Q168" i="3"/>
  <c r="P168" i="3"/>
  <c r="M168" i="3"/>
  <c r="R167" i="3"/>
  <c r="Q167" i="3"/>
  <c r="P167" i="3"/>
  <c r="M167" i="3"/>
  <c r="R166" i="3"/>
  <c r="Q166" i="3"/>
  <c r="P166" i="3"/>
  <c r="M166" i="3"/>
  <c r="R165" i="3"/>
  <c r="Q165" i="3"/>
  <c r="P165" i="3"/>
  <c r="M165" i="3"/>
  <c r="R164" i="3"/>
  <c r="Q164" i="3"/>
  <c r="P164" i="3"/>
  <c r="M164" i="3"/>
  <c r="R163" i="3"/>
  <c r="Q163" i="3"/>
  <c r="P163" i="3"/>
  <c r="M163" i="3"/>
  <c r="R162" i="3"/>
  <c r="Q162" i="3"/>
  <c r="P162" i="3"/>
  <c r="M162" i="3"/>
  <c r="R161" i="3"/>
  <c r="Q161" i="3"/>
  <c r="P161" i="3"/>
  <c r="M161" i="3"/>
  <c r="R160" i="3"/>
  <c r="Q160" i="3"/>
  <c r="P160" i="3"/>
  <c r="M160" i="3"/>
  <c r="R159" i="3"/>
  <c r="Q159" i="3"/>
  <c r="P159" i="3"/>
  <c r="M159" i="3"/>
  <c r="R158" i="3"/>
  <c r="Q158" i="3"/>
  <c r="P158" i="3"/>
  <c r="M158" i="3"/>
  <c r="R157" i="3"/>
  <c r="Q157" i="3"/>
  <c r="P157" i="3"/>
  <c r="M157" i="3"/>
  <c r="R156" i="3"/>
  <c r="Q156" i="3"/>
  <c r="P156" i="3"/>
  <c r="M156" i="3"/>
  <c r="R155" i="3"/>
  <c r="Q155" i="3"/>
  <c r="P155" i="3"/>
  <c r="M155" i="3"/>
  <c r="R154" i="3"/>
  <c r="Q154" i="3"/>
  <c r="P154" i="3"/>
  <c r="M154" i="3"/>
  <c r="R153" i="3"/>
  <c r="Q153" i="3"/>
  <c r="P153" i="3"/>
  <c r="M153" i="3"/>
  <c r="R152" i="3"/>
  <c r="Q152" i="3"/>
  <c r="P152" i="3"/>
  <c r="M152" i="3"/>
  <c r="R151" i="3"/>
  <c r="Q151" i="3"/>
  <c r="P151" i="3"/>
  <c r="M151" i="3"/>
  <c r="R150" i="3"/>
  <c r="Q150" i="3"/>
  <c r="P150" i="3"/>
  <c r="M150" i="3"/>
  <c r="R149" i="3"/>
  <c r="Q149" i="3"/>
  <c r="P149" i="3"/>
  <c r="M149" i="3"/>
  <c r="R148" i="3"/>
  <c r="Q148" i="3"/>
  <c r="P148" i="3"/>
  <c r="M148" i="3"/>
  <c r="R147" i="3"/>
  <c r="Q147" i="3"/>
  <c r="P147" i="3"/>
  <c r="M147" i="3"/>
  <c r="R146" i="3"/>
  <c r="Q146" i="3"/>
  <c r="P146" i="3"/>
  <c r="M146" i="3"/>
  <c r="R145" i="3"/>
  <c r="Q145" i="3"/>
  <c r="P145" i="3"/>
  <c r="M145" i="3"/>
  <c r="R144" i="3"/>
  <c r="Q144" i="3"/>
  <c r="P144" i="3"/>
  <c r="M144" i="3"/>
  <c r="R143" i="3"/>
  <c r="Q143" i="3"/>
  <c r="P143" i="3"/>
  <c r="M143" i="3"/>
  <c r="R142" i="3"/>
  <c r="Q142" i="3"/>
  <c r="P142" i="3"/>
  <c r="M142" i="3"/>
  <c r="R141" i="3"/>
  <c r="Q141" i="3"/>
  <c r="P141" i="3"/>
  <c r="M141" i="3"/>
  <c r="R140" i="3"/>
  <c r="Q140" i="3"/>
  <c r="P140" i="3"/>
  <c r="M140" i="3"/>
  <c r="R139" i="3"/>
  <c r="Q139" i="3"/>
  <c r="P139" i="3"/>
  <c r="M139" i="3"/>
  <c r="R138" i="3"/>
  <c r="Q138" i="3"/>
  <c r="P138" i="3"/>
  <c r="M138" i="3"/>
  <c r="R137" i="3"/>
  <c r="Q137" i="3"/>
  <c r="P137" i="3"/>
  <c r="M137" i="3"/>
  <c r="R136" i="3"/>
  <c r="Q136" i="3"/>
  <c r="P136" i="3"/>
  <c r="M136" i="3"/>
  <c r="R135" i="3"/>
  <c r="Q135" i="3"/>
  <c r="P135" i="3"/>
  <c r="M135" i="3"/>
  <c r="R134" i="3"/>
  <c r="Q134" i="3"/>
  <c r="P134" i="3"/>
  <c r="M134" i="3"/>
  <c r="R133" i="3"/>
  <c r="Q133" i="3"/>
  <c r="P133" i="3"/>
  <c r="M133" i="3"/>
  <c r="R132" i="3"/>
  <c r="Q132" i="3"/>
  <c r="P132" i="3"/>
  <c r="M132" i="3"/>
  <c r="R131" i="3"/>
  <c r="Q131" i="3"/>
  <c r="P131" i="3"/>
  <c r="M131" i="3"/>
  <c r="R130" i="3"/>
  <c r="Q130" i="3"/>
  <c r="P130" i="3"/>
  <c r="M130" i="3"/>
  <c r="R129" i="3"/>
  <c r="Q129" i="3"/>
  <c r="P129" i="3"/>
  <c r="M129" i="3"/>
  <c r="R128" i="3"/>
  <c r="Q128" i="3"/>
  <c r="P128" i="3"/>
  <c r="M128" i="3"/>
  <c r="R127" i="3"/>
  <c r="Q127" i="3"/>
  <c r="P127" i="3"/>
  <c r="M127" i="3"/>
  <c r="R126" i="3"/>
  <c r="Q126" i="3"/>
  <c r="P126" i="3"/>
  <c r="M126" i="3"/>
  <c r="R125" i="3"/>
  <c r="Q125" i="3"/>
  <c r="P125" i="3"/>
  <c r="M125" i="3"/>
  <c r="R124" i="3"/>
  <c r="Q124" i="3"/>
  <c r="P124" i="3"/>
  <c r="M124" i="3"/>
  <c r="R123" i="3"/>
  <c r="Q123" i="3"/>
  <c r="P123" i="3"/>
  <c r="M123" i="3"/>
  <c r="R122" i="3"/>
  <c r="Q122" i="3"/>
  <c r="P122" i="3"/>
  <c r="M122" i="3"/>
  <c r="R121" i="3"/>
  <c r="Q121" i="3"/>
  <c r="P121" i="3"/>
  <c r="M121" i="3"/>
  <c r="R120" i="3"/>
  <c r="Q120" i="3"/>
  <c r="P120" i="3"/>
  <c r="M120" i="3"/>
  <c r="R119" i="3"/>
  <c r="Q119" i="3"/>
  <c r="P119" i="3"/>
  <c r="M119" i="3"/>
  <c r="R118" i="3"/>
  <c r="Q118" i="3"/>
  <c r="P118" i="3"/>
  <c r="M118" i="3"/>
  <c r="R117" i="3"/>
  <c r="Q117" i="3"/>
  <c r="P117" i="3"/>
  <c r="M117" i="3"/>
  <c r="R116" i="3"/>
  <c r="Q116" i="3"/>
  <c r="P116" i="3"/>
  <c r="M116" i="3"/>
  <c r="R115" i="3"/>
  <c r="Q115" i="3"/>
  <c r="P115" i="3"/>
  <c r="M115" i="3"/>
  <c r="R114" i="3"/>
  <c r="Q114" i="3"/>
  <c r="P114" i="3"/>
  <c r="M114" i="3"/>
  <c r="R113" i="3"/>
  <c r="Q113" i="3"/>
  <c r="P113" i="3"/>
  <c r="M113" i="3"/>
  <c r="R112" i="3"/>
  <c r="Q112" i="3"/>
  <c r="P112" i="3"/>
  <c r="M112" i="3"/>
  <c r="R111" i="3"/>
  <c r="Q111" i="3"/>
  <c r="P111" i="3"/>
  <c r="M111" i="3"/>
  <c r="R110" i="3"/>
  <c r="Q110" i="3"/>
  <c r="P110" i="3"/>
  <c r="M110" i="3"/>
  <c r="R109" i="3"/>
  <c r="Q109" i="3"/>
  <c r="P109" i="3"/>
  <c r="M109" i="3"/>
  <c r="R108" i="3"/>
  <c r="Q108" i="3"/>
  <c r="P108" i="3"/>
  <c r="M108" i="3"/>
  <c r="R107" i="3"/>
  <c r="Q107" i="3"/>
  <c r="P107" i="3"/>
  <c r="M107" i="3"/>
  <c r="R106" i="3"/>
  <c r="Q106" i="3"/>
  <c r="P106" i="3"/>
  <c r="M106" i="3"/>
  <c r="R105" i="3"/>
  <c r="Q105" i="3"/>
  <c r="P105" i="3"/>
  <c r="M105" i="3"/>
  <c r="R104" i="3"/>
  <c r="Q104" i="3"/>
  <c r="P104" i="3"/>
  <c r="M104" i="3"/>
  <c r="R103" i="3"/>
  <c r="Q103" i="3"/>
  <c r="P103" i="3"/>
  <c r="M103" i="3"/>
  <c r="R102" i="3"/>
  <c r="Q102" i="3"/>
  <c r="P102" i="3"/>
  <c r="M102" i="3"/>
  <c r="R101" i="3"/>
  <c r="Q101" i="3"/>
  <c r="P101" i="3"/>
  <c r="M101" i="3"/>
  <c r="R100" i="3"/>
  <c r="Q100" i="3"/>
  <c r="P100" i="3"/>
  <c r="M100" i="3"/>
  <c r="R99" i="3"/>
  <c r="Q99" i="3"/>
  <c r="P99" i="3"/>
  <c r="M99" i="3"/>
  <c r="R98" i="3"/>
  <c r="Q98" i="3"/>
  <c r="P98" i="3"/>
  <c r="M98" i="3"/>
  <c r="R97" i="3"/>
  <c r="Q97" i="3"/>
  <c r="P97" i="3"/>
  <c r="M97" i="3"/>
  <c r="R96" i="3"/>
  <c r="Q96" i="3"/>
  <c r="P96" i="3"/>
  <c r="M96" i="3"/>
  <c r="R95" i="3"/>
  <c r="Q95" i="3"/>
  <c r="P95" i="3"/>
  <c r="M95" i="3"/>
  <c r="R94" i="3"/>
  <c r="Q94" i="3"/>
  <c r="P94" i="3"/>
  <c r="M94" i="3"/>
  <c r="R93" i="3"/>
  <c r="Q93" i="3"/>
  <c r="P93" i="3"/>
  <c r="M93" i="3"/>
  <c r="R92" i="3"/>
  <c r="Q92" i="3"/>
  <c r="P92" i="3"/>
  <c r="M92" i="3"/>
  <c r="R91" i="3"/>
  <c r="Q91" i="3"/>
  <c r="P91" i="3"/>
  <c r="M91" i="3"/>
  <c r="R90" i="3"/>
  <c r="Q90" i="3"/>
  <c r="P90" i="3"/>
  <c r="M90" i="3"/>
  <c r="R89" i="3"/>
  <c r="Q89" i="3"/>
  <c r="P89" i="3"/>
  <c r="M89" i="3"/>
  <c r="R88" i="3"/>
  <c r="Q88" i="3"/>
  <c r="P88" i="3"/>
  <c r="M88" i="3"/>
  <c r="R87" i="3"/>
  <c r="Q87" i="3"/>
  <c r="P87" i="3"/>
  <c r="M87" i="3"/>
  <c r="R86" i="3"/>
  <c r="Q86" i="3"/>
  <c r="P86" i="3"/>
  <c r="M86" i="3"/>
  <c r="R85" i="3"/>
  <c r="Q85" i="3"/>
  <c r="P85" i="3"/>
  <c r="M85" i="3"/>
  <c r="R84" i="3"/>
  <c r="Q84" i="3"/>
  <c r="P84" i="3"/>
  <c r="M84" i="3"/>
  <c r="R83" i="3"/>
  <c r="Q83" i="3"/>
  <c r="P83" i="3"/>
  <c r="M83" i="3"/>
  <c r="R82" i="3"/>
  <c r="Q82" i="3"/>
  <c r="P82" i="3"/>
  <c r="M82" i="3"/>
  <c r="R81" i="3"/>
  <c r="Q81" i="3"/>
  <c r="P81" i="3"/>
  <c r="M81" i="3"/>
  <c r="R80" i="3"/>
  <c r="Q80" i="3"/>
  <c r="P80" i="3"/>
  <c r="M80" i="3"/>
  <c r="R79" i="3"/>
  <c r="Q79" i="3"/>
  <c r="P79" i="3"/>
  <c r="M79" i="3"/>
  <c r="R78" i="3"/>
  <c r="Q78" i="3"/>
  <c r="P78" i="3"/>
  <c r="M78" i="3"/>
  <c r="R77" i="3"/>
  <c r="Q77" i="3"/>
  <c r="P77" i="3"/>
  <c r="M77" i="3"/>
  <c r="R76" i="3"/>
  <c r="Q76" i="3"/>
  <c r="P76" i="3"/>
  <c r="M76" i="3"/>
  <c r="R75" i="3"/>
  <c r="Q75" i="3"/>
  <c r="P75" i="3"/>
  <c r="M75" i="3"/>
  <c r="R74" i="3"/>
  <c r="Q74" i="3"/>
  <c r="P74" i="3"/>
  <c r="M74" i="3"/>
  <c r="R73" i="3"/>
  <c r="Q73" i="3"/>
  <c r="P73" i="3"/>
  <c r="M73" i="3"/>
  <c r="R72" i="3"/>
  <c r="Q72" i="3"/>
  <c r="P72" i="3"/>
  <c r="M72" i="3"/>
  <c r="R71" i="3"/>
  <c r="Q71" i="3"/>
  <c r="P71" i="3"/>
  <c r="M71" i="3"/>
  <c r="R70" i="3"/>
  <c r="Q70" i="3"/>
  <c r="P70" i="3"/>
  <c r="M70" i="3"/>
  <c r="R69" i="3"/>
  <c r="Q69" i="3"/>
  <c r="P69" i="3"/>
  <c r="M69" i="3"/>
  <c r="R68" i="3"/>
  <c r="Q68" i="3"/>
  <c r="P68" i="3"/>
  <c r="M68" i="3"/>
  <c r="R67" i="3"/>
  <c r="Q67" i="3"/>
  <c r="P67" i="3"/>
  <c r="M67" i="3"/>
  <c r="R66" i="3"/>
  <c r="Q66" i="3"/>
  <c r="P66" i="3"/>
  <c r="M66" i="3"/>
  <c r="R65" i="3"/>
  <c r="Q65" i="3"/>
  <c r="P65" i="3"/>
  <c r="M65" i="3"/>
  <c r="R64" i="3"/>
  <c r="Q64" i="3"/>
  <c r="P64" i="3"/>
  <c r="M64" i="3"/>
  <c r="R63" i="3"/>
  <c r="Q63" i="3"/>
  <c r="P63" i="3"/>
  <c r="M63" i="3"/>
  <c r="R62" i="3"/>
  <c r="Q62" i="3"/>
  <c r="P62" i="3"/>
  <c r="M62" i="3"/>
  <c r="R61" i="3"/>
  <c r="Q61" i="3"/>
  <c r="P61" i="3"/>
  <c r="M61" i="3"/>
  <c r="R60" i="3"/>
  <c r="Q60" i="3"/>
  <c r="P60" i="3"/>
  <c r="M60" i="3"/>
  <c r="R59" i="3"/>
  <c r="Q59" i="3"/>
  <c r="P59" i="3"/>
  <c r="M59" i="3"/>
  <c r="R58" i="3"/>
  <c r="Q58" i="3"/>
  <c r="P58" i="3"/>
  <c r="M58" i="3"/>
  <c r="R57" i="3"/>
  <c r="Q57" i="3"/>
  <c r="P57" i="3"/>
  <c r="M57" i="3"/>
  <c r="R56" i="3"/>
  <c r="Q56" i="3"/>
  <c r="P56" i="3"/>
  <c r="M56" i="3"/>
  <c r="R55" i="3"/>
  <c r="Q55" i="3"/>
  <c r="P55" i="3"/>
  <c r="M55" i="3"/>
  <c r="R54" i="3"/>
  <c r="Q54" i="3"/>
  <c r="P54" i="3"/>
  <c r="M54" i="3"/>
  <c r="R53" i="3"/>
  <c r="Q53" i="3"/>
  <c r="P53" i="3"/>
  <c r="M53" i="3"/>
  <c r="R52" i="3"/>
  <c r="Q52" i="3"/>
  <c r="P52" i="3"/>
  <c r="M52" i="3"/>
  <c r="R51" i="3"/>
  <c r="Q51" i="3"/>
  <c r="P51" i="3"/>
  <c r="M51" i="3"/>
  <c r="R50" i="3"/>
  <c r="Q50" i="3"/>
  <c r="P50" i="3"/>
  <c r="M50" i="3"/>
  <c r="R49" i="3"/>
  <c r="Q49" i="3"/>
  <c r="P49" i="3"/>
  <c r="M49" i="3"/>
  <c r="R48" i="3"/>
  <c r="Q48" i="3"/>
  <c r="P48" i="3"/>
  <c r="M48" i="3"/>
  <c r="R47" i="3"/>
  <c r="Q47" i="3"/>
  <c r="P47" i="3"/>
  <c r="M47" i="3"/>
  <c r="R46" i="3"/>
  <c r="Q46" i="3"/>
  <c r="P46" i="3"/>
  <c r="M46" i="3"/>
  <c r="R45" i="3"/>
  <c r="Q45" i="3"/>
  <c r="P45" i="3"/>
  <c r="M45" i="3"/>
  <c r="R44" i="3"/>
  <c r="Q44" i="3"/>
  <c r="P44" i="3"/>
  <c r="M44" i="3"/>
  <c r="R43" i="3"/>
  <c r="Q43" i="3"/>
  <c r="P43" i="3"/>
  <c r="M43" i="3"/>
  <c r="R42" i="3"/>
  <c r="Q42" i="3"/>
  <c r="P42" i="3"/>
  <c r="M42" i="3"/>
  <c r="R41" i="3"/>
  <c r="Q41" i="3"/>
  <c r="P41" i="3"/>
  <c r="M41" i="3"/>
  <c r="R40" i="3"/>
  <c r="Q40" i="3"/>
  <c r="P40" i="3"/>
  <c r="M40" i="3"/>
  <c r="R39" i="3"/>
  <c r="Q39" i="3"/>
  <c r="P39" i="3"/>
  <c r="M39" i="3"/>
  <c r="R38" i="3"/>
  <c r="Q38" i="3"/>
  <c r="P38" i="3"/>
  <c r="M38" i="3"/>
  <c r="R37" i="3"/>
  <c r="Q37" i="3"/>
  <c r="P37" i="3"/>
  <c r="M37" i="3"/>
  <c r="R36" i="3"/>
  <c r="Q36" i="3"/>
  <c r="P36" i="3"/>
  <c r="M36" i="3"/>
  <c r="R35" i="3"/>
  <c r="Q35" i="3"/>
  <c r="P35" i="3"/>
  <c r="M35" i="3"/>
  <c r="R34" i="3"/>
  <c r="Q34" i="3"/>
  <c r="P34" i="3"/>
  <c r="M34" i="3"/>
  <c r="R33" i="3"/>
  <c r="Q33" i="3"/>
  <c r="P33" i="3"/>
  <c r="M33" i="3"/>
  <c r="R32" i="3"/>
  <c r="Q32" i="3"/>
  <c r="P32" i="3"/>
  <c r="M32" i="3"/>
  <c r="R31" i="3"/>
  <c r="Q31" i="3"/>
  <c r="P31" i="3"/>
  <c r="M31" i="3"/>
  <c r="R30" i="3"/>
  <c r="Q30" i="3"/>
  <c r="P30" i="3"/>
  <c r="M30" i="3"/>
  <c r="R29" i="3"/>
  <c r="Q29" i="3"/>
  <c r="P29" i="3"/>
  <c r="M29" i="3"/>
  <c r="R28" i="3"/>
  <c r="Q28" i="3"/>
  <c r="P28" i="3"/>
  <c r="M28" i="3"/>
  <c r="R27" i="3"/>
  <c r="Q27" i="3"/>
  <c r="P27" i="3"/>
  <c r="M27" i="3"/>
  <c r="R26" i="3"/>
  <c r="Q26" i="3"/>
  <c r="P26" i="3"/>
  <c r="M26" i="3"/>
  <c r="R25" i="3"/>
  <c r="Q25" i="3"/>
  <c r="P25" i="3"/>
  <c r="M25" i="3"/>
  <c r="R24" i="3"/>
  <c r="Q24" i="3"/>
  <c r="P24" i="3"/>
  <c r="M24" i="3"/>
  <c r="R23" i="3"/>
  <c r="Q23" i="3"/>
  <c r="P23" i="3"/>
  <c r="M23" i="3"/>
  <c r="R22" i="3"/>
  <c r="Q22" i="3"/>
  <c r="P22" i="3"/>
  <c r="M22" i="3"/>
  <c r="R21" i="3"/>
  <c r="Q21" i="3"/>
  <c r="P21" i="3"/>
  <c r="M21" i="3"/>
  <c r="R20" i="3"/>
  <c r="Q20" i="3"/>
  <c r="P20" i="3"/>
  <c r="M20" i="3"/>
  <c r="R19" i="3"/>
  <c r="Q19" i="3"/>
  <c r="P19" i="3"/>
  <c r="M19" i="3"/>
  <c r="R18" i="3"/>
  <c r="Q18" i="3"/>
  <c r="P18" i="3"/>
  <c r="M18" i="3"/>
  <c r="R17" i="3"/>
  <c r="Q17" i="3"/>
  <c r="P17" i="3"/>
  <c r="M17" i="3"/>
  <c r="R16" i="3"/>
  <c r="Q16" i="3"/>
  <c r="P16" i="3"/>
  <c r="M16" i="3"/>
  <c r="R15" i="3"/>
  <c r="Q15" i="3"/>
  <c r="P15" i="3"/>
  <c r="M15" i="3"/>
  <c r="R14" i="3"/>
  <c r="Q14" i="3"/>
  <c r="P14" i="3"/>
  <c r="M14" i="3"/>
  <c r="R13" i="3"/>
  <c r="Q13" i="3"/>
  <c r="P13" i="3"/>
  <c r="M13" i="3"/>
  <c r="R12" i="3"/>
  <c r="Q12" i="3"/>
  <c r="P12" i="3"/>
  <c r="M12" i="3"/>
  <c r="X11" i="3"/>
  <c r="W11" i="3"/>
  <c r="V11" i="3"/>
  <c r="R11" i="3"/>
  <c r="Q11" i="3"/>
  <c r="P11" i="3"/>
  <c r="M11" i="3"/>
  <c r="R10" i="3"/>
  <c r="Q10" i="3"/>
  <c r="P10" i="3"/>
  <c r="M10" i="3"/>
  <c r="R9" i="3"/>
  <c r="Q9" i="3"/>
  <c r="P9" i="3"/>
  <c r="M9" i="3"/>
  <c r="Y8" i="3"/>
  <c r="X8" i="3"/>
  <c r="W8" i="3"/>
  <c r="V8" i="3"/>
  <c r="R8" i="3"/>
  <c r="Q8" i="3"/>
  <c r="P8" i="3"/>
  <c r="M8" i="3"/>
  <c r="R7" i="3"/>
  <c r="Q7" i="3"/>
  <c r="P7" i="3"/>
  <c r="M7" i="3"/>
  <c r="R6" i="3"/>
  <c r="Q6" i="3"/>
  <c r="P6" i="3"/>
  <c r="M6" i="3"/>
  <c r="X5" i="3"/>
  <c r="W5" i="3"/>
  <c r="V5" i="3"/>
  <c r="R5" i="3"/>
  <c r="Q5" i="3"/>
  <c r="P5" i="3"/>
  <c r="M5" i="3"/>
  <c r="R4" i="3"/>
  <c r="Q4" i="3"/>
  <c r="P4" i="3"/>
  <c r="M4" i="3"/>
  <c r="Y3" i="3"/>
  <c r="X3" i="3"/>
  <c r="W3" i="3"/>
  <c r="V3" i="3"/>
  <c r="R3" i="3"/>
  <c r="Q3" i="3"/>
  <c r="P3" i="3"/>
  <c r="M3" i="3"/>
  <c r="R2" i="3"/>
  <c r="Q2" i="3"/>
  <c r="P2" i="3"/>
  <c r="M2" i="3"/>
  <c r="H6" i="2"/>
  <c r="E6" i="2"/>
  <c r="B6" i="2"/>
  <c r="K6" i="2"/>
</calcChain>
</file>

<file path=xl/sharedStrings.xml><?xml version="1.0" encoding="utf-8"?>
<sst xmlns="http://schemas.openxmlformats.org/spreadsheetml/2006/main" count="3104" uniqueCount="1187">
  <si>
    <t>Product ID;Product Position;Promotion;Product Category;Seasonal;Sales Volume;brand;url;sku;name;description;price;currency;scraped_at;terms;section</t>
  </si>
  <si>
    <t>185102;Aisle;No;Clothing;No;2823;Zara;https://www.zara.com/us/en/basic-puffer-jacket-p06985450.html;272145190-250-2;BASIC PUFFER JACKET;Puffer jacket made of tear-resistant ripstop fabric. High collar and adjustable long sleeves with adhesive straps. Welt pockets at hip. Adjustable hem with side elastics. Front zip closure.;19.99;USD;2024-02-19T08:50:05.654618;jackets;MAN</t>
  </si>
  <si>
    <t>188771;Aisle;No;Clothing;No;654;Zara;https://www.zara.com/us/en/tuxedo-jacket-p08896675.html;324052738-800-46;TUXEDO JACKET;Straight fit blazer. Pointed lapel collar and long sleeves with buttoned cuffs. Welt pockets at hip and interior pocket. Central back vent at hem. Front button closure.;169.0;USD;2024-02-19T08:50:06.590930;jackets;MAN</t>
  </si>
  <si>
    <t>180176;End-cap;Yes;Clothing;Yes;2220;Zara;https://www.zara.com/us/en/slim-fit-suit-jacket-p01564520.html;335342680-800-44;SLIM FIT SUIT JACKET;Slim fit jacket. Notched lapel collar. Long sleeves with buttoned cuffs. Welt pocket at chest and flap pockets at hip. Interior pocket. Back vents. Front button closure.;129.0;USD;2024-02-19T08:50:07.301419;jackets;MAN</t>
  </si>
  <si>
    <t>112917;Aisle;Yes;Clothing;Yes;1568;Zara;https://www.zara.com/us/en/stretch-suit-jacket-p01564300.html;328303236-420-44;STRETCH SUIT JACKET;Slim fit jacket made of viscose blend fabric. Notched lapel collar. Long sleeves with buttoned cuffs. Welt pocket at chest and flap pockets at hip. Interior pocket. Back vents. Front button closure.;129.0;USD;2024-02-19T08:50:07.882922;jackets;MAN</t>
  </si>
  <si>
    <t>192936;End-cap;No;Clothing;Yes;2942;Zara;https://www.zara.com/us/en/double-faced-jacket-p08281477.html;312368260-800-2;DOUBLE FACED JACKET;Jacket made of faux leather faux shearling with fleece interior. Tabbed lapel collar. Long sleeves. Zip pockets at hip. Front zip closure.;139.0;USD;2024-02-19T08:50:08.453847;jackets;MAN</t>
  </si>
  <si>
    <t>117590;End-cap;No;Clothing;No;2968;Zara;https://www.zara.com/us/en/contrasting-collar-jacket-p06987331.html;320298385-807-2;CONTRASTING COLLAR JACKET;Relaxed fit jacket. Contrasting lapel collar and long sleeves with buttoned cuffs. Front pouch pockets. Interior pocket. Washed effect. Front zip closure.;79.9;USD;2024-02-19T08:50:09.140497;jackets;MAN</t>
  </si>
  <si>
    <t>189118;Front of Store;Yes;Clothing;Yes;952;Zara;https://www.zara.com/us/en/faux-leather-puffer-jacket-p08281420.html;278112470-800-2;FAUX LEATHER PUFFER JACKET;Faux leather puffer jacket. High collar and long sleeves with ribbed interior cuffs. Welt pockets at hip. Interior pocket. Adjustable hem with side elastics. Front zip closure.;69.99;USD;2024-02-19T08:50:09.688951;jackets;MAN</t>
  </si>
  <si>
    <t>182157;Aisle;No;Clothing;No;2421;Zara;https://www.zara.com/us/en/suit-jacket-in-100-linen-p04307408.html;322972485-431-46;SUIT JACKET IN 100% LINEN;Straight fit blazer made of linen. Notched lapel collar and long sleeves with buttoned cuffs. Welt pocket at chest and flap pockets at hip. Interior pocket. Back vents. Front button closure.;159.0;USD;2024-02-19T08:50:10.200777;jackets;MAN</t>
  </si>
  <si>
    <t>141861;Aisle;Yes;Clothing;Yes;1916;Zara;https://www.zara.com/us/en/100-wool-suit-jacket-p05955218.html;313854165-401-46;100% WOOL SUIT JACKET;Jacket made of Italian wool. Pointed lapel collar and long sleeves with buttoned cuffs. Welt pocket at chest and flap pockets at hip. Interior pocket. Back vents. Front button closure.;169.0;USD;2024-02-19T08:50:10.880741;jackets;MAN</t>
  </si>
  <si>
    <t>137121;Aisle;No;Clothing;Yes;656;Zara;https://www.zara.com/us/en/100-feather-fill-puffer-jacket-p04302305.html;312372602-800-2;100% FEATHER FILL PUFFER JACKET;Puffer jacket made of shiny finish technical fabric. Fill is a blend of 80% down and 20% feathers. High collar with adjustable hood and long sleeves with elastic cuffs. Welt pockets at hip and interior pocket. Adjustable hem with side elastics. Front zip closure.;169.0;USD;2024-02-19T08:50:11.380061;jackets;MAN</t>
  </si>
  <si>
    <t>113143;Aisle;Yes;Clothing;Yes;2663;Zara;https://www.zara.com/us/en/herringbone-textured-jacket-p08491401.html;316207900-710-2;HERRINGBONE TEXTURED JACKET;Jacket made of wool blend fabric. Lapel collar and long sleeves. Welt pockets at hip. Front zip closure.;129.0;USD;2024-02-19T08:50:12.011296;jackets;MAN</t>
  </si>
  <si>
    <t>140028;Aisle;Yes;Clothing;Yes;1260;Zara;https://www.zara.com/us/en/oversized-cropped-jacket-limited-edition-p04304672.html;329186122-800-2;OVERSIZED CROPPED JACKET LIMITED EDITION;Oversized cropped jacket. Notched lapel collar and long sleeves with buttoned cuffs. Flap pockets at waist ad interior pocket. Front button closure.;159.0;USD;2024-02-19T08:50:12.510507;jackets;MAN</t>
  </si>
  <si>
    <t>134693;Aisle;Yes;Clothing;No;2124;Zara;https://www.zara.com/us/en/leather-biker-jacket-p05833412.html;311297791-800-2;LEATHER BIKER JACKET;Jacket with lapel collar and snap button details. Long sleeves with zip cuffs. Front zip pockets and interior pocket. Asymmetric front closure with metal zipper.;169.0;USD;2024-02-19T08:50:13.210501;jackets;MAN</t>
  </si>
  <si>
    <t>151396;Front of Store;Yes;Clothing;Yes;729;Zara;https://www.zara.com/us/en/cropped-leather-jacket-p02521104.html;323134418-800-3;CROPPED LEATHER JACKET;Leather jacket. Cropped length. Lapel collar and long sleeves. Front hidden in-seam pockets. Front zip closure.;439.0;USD;2024-02-19T08:50:13.771115;jackets;MAN</t>
  </si>
  <si>
    <t>132889;Aisle;Yes;Clothing;Yes;2265;Zara;https://www.zara.com/us/en/faux-leather-boxy-fit-jacket-p08281654.html;311297555-706-2;FAUX LEATHER BOXY FIT JACKET;Boxy fit jacket. Lapel collar and long sleeves with buttoned cuffs. Welt pockets at hip. Front button closure.;99.9;USD;2024-02-19T08:50:14.252907;jackets;MAN</t>
  </si>
  <si>
    <t>152174;End-cap;No;Clothing;No;2226;Zara;https://www.zara.com/us/en/faux-leather-jacket-p03427320.html;317012940-800-2;FAUX LEATHER JACKET;Jacket made of faux leather fabric. Lapel collar with snap button details. Long sleeves with zip cuffs. Front zip pockets at chest and hip. Interior pocket. Asymmetric front closure with metal zipper.;99.9;USD;2024-02-19T08:50:14.853868;jackets;MAN</t>
  </si>
  <si>
    <t>129906;Aisle;No;Clothing;No;2089;Zara;https://www.zara.com/us/en/faux-suede-bomber-jacket-p06318600.html;311292672-800-2;FAUX SUEDE BOMBER JACKET;Jacket made of faux suede fabric. Ribbed elastic high collar and long sleeve. Welt pockets at hip. Rib trim. Front zip closure.;69.9;USD;2024-02-19T08:50:15.386895;jackets;MAN</t>
  </si>
  <si>
    <t>195879;Front of Store;Yes;Clothing;Yes;2339;Zara;https://www.zara.com/us/en/denim-bomber-jacket-p00621400.html;321496837-400-3;DENIM BOMBER JACKET;Jacket made of denim fabric with padded interior. Rib elastic collar and long sleeves. Welt pockets at hip and interior pocket. Elastic hem. All-over contrasting topstitching details. Front zip closure.;129.0;USD;2024-02-19T08:50:15.895051;jackets;MAN</t>
  </si>
  <si>
    <t>155050;Aisle;No;Clothing;Yes;2321;Zara;https://www.zara.com/us/en/boucle-textured-jacket-p08491402.html;316205038-615-2;BOUCLÃ‰ TEXTURED JACKET;Cropped jacket made with wool blend fabric. High collar and long sleeves with elastic cuffs. Front patch pockets with flaps. Elastic hem. Front snap button closure.;129.0;USD;2024-02-19T08:50:16.580479;jackets;MAN</t>
  </si>
  <si>
    <t>194410;End-cap;No;Clothing;No;669;Zara;https://www.zara.com/us/en/suit-jacket-in-100-linen-p04307443.html;322972473-052-46;SUIT JACKET IN 100% LINEN;Straight fit blazer made of linen. Notched lapel collar and long sleeves with buttoned cuffs. Flap pockets at hip. Interior pocket. Back vents. Front button closure.;159.0;USD;2024-02-19T08:50:17.153559;jackets;MAN</t>
  </si>
  <si>
    <t>141904;End-cap;Yes;Clothing;Yes;1712;Zara;https://www.zara.com/us/en/jacquard-denim-jacket-p07627402.html;313845662-400-3;JACQUARD DENIM JACKET;Lapel collar jacket with long sleeves with buttoned cuffs. Patch pockets with flaps at chest and side pockets at hip. Front hidden button closure.;109.0;USD;2024-02-19T08:50:17.639427;jackets;MAN</t>
  </si>
  <si>
    <t>124981;Front of Store;No;Clothing;Yes;1832;Zara;https://www.zara.com/us/en/padded-denim-jacket-p01538413.html;320264577-800-2;PADDED DENIM JACKET;Cropped jacket with lightly quilted interior. Lapel collar and long sleeves. Flap patch pockets at hip. Washed effect. Rib hems. Front zip closure.;89.9;USD;2024-02-19T08:50:18.264732;jackets;MAN</t>
  </si>
  <si>
    <t>161909;Aisle;Yes;Clothing;No;1290;Zara;https://www.zara.com/us/en/leather-jacket-p05479400.html;315529534-705-3;LEATHER JACKET;Relaxed fit jacket in leather. Spread collar and long sleeves with slit cuffs with button closure. Patch pockets at hip. Back vents. Front button closure.;299.0;USD;2024-02-19T08:50:18.813979;jackets;MAN</t>
  </si>
  <si>
    <t>129152;End-cap;No;Clothing;No;2356;Zara;https://www.zara.com/us/en/lightweight-bomber-jacket-p08281315.html;320423517-800-2;LIGHTWEIGHT BOMBER JACKET;Lightweight jacket made of technical fabric. Round neck and long sleeves. Welt pockets at hip. Interior pocket. Rib trim. Front zip closure.;49.9;USD;2024-02-19T08:50:19.405469;jackets;MAN</t>
  </si>
  <si>
    <t>183243;Front of Store;Yes;Clothing;No;1524;Zara;https://www.zara.com/us/en/suit-jacket-p04303266.html;328250627-251-46;SUIT JACKET;Straight fit jacket made of dense stretch fabric. Notched lapel collar and long sleeves with buttoned cuffs. Welt pocket at chest and flap pockets at hip. Interior pocket. Back vents. Front button closure.;169.0;USD;2024-02-19T08:50:19.899287;jackets;MAN</t>
  </si>
  <si>
    <t>198248;Front of Store;Yes;Clothing;No;1644;Zara;https://www.zara.com/us/en/faux-leather-bomber-jacket-p03918420.html;311309526-800-2;FAUX LEATHER BOMBER JACKET;Jacket made of faux leather fabric. High collar and long sleeves. Welt pockets at hip and interior pocket. Rib trim. Front zip closure.;69.9;USD;2024-02-19T08:50:20.387337;jackets;MAN</t>
  </si>
  <si>
    <t>191230;End-cap;No;Clothing;No;966;Zara;https://www.zara.com/us/en/patch-bomber-jacket-p03918330.html;311287528-811-2;PATCH BOMBER JACKET;Varsity jacket made of faux suede fabric. Double welt pockets at hip and interior pocket. Front and back contrasting patch appliquÃ©s and embroidery. Rib trim. Front snap button closure.;89.9;USD;2024-02-19T08:50:20.940517;jackets;MAN</t>
  </si>
  <si>
    <t>187234;Front of Store;Yes;Clothing;Yes;2575;Zara;https://www.zara.com/us/en/stretch-pocket-overshirt-p07484478.html;342657802-914-2;STRETCH POCKET OVERSHIRT;Overshirt made of stretchy fabric. Lapel collar and long sleeves with snap buttoned cuffs. Chest patch pockets. Front snap button closure.;59.9;USD;2024-02-19T08:50:21.681257;jackets;MAN</t>
  </si>
  <si>
    <t>148888;Front of Store;No;Clothing;No;2774;Zara;https://www.zara.com/us/en/rib-collar-jacket-p08281410.html;316207898-712-2;RIB COLLAR JACKET;Jacket made of technical fabric with padded interior. Tonal elastic rib high collar. Long sleeves. Welt pockets at hip and interior pocket. Interior elastic finish. Front zip closure.;109.0;USD;2024-02-19T08:50:22.196513;jackets;MAN</t>
  </si>
  <si>
    <t>110805;Front of Store;Yes;Clothing;No;2477;Zara;https://www.zara.com/us/en/faux-leather-oversized-jacket-limited-edition-p07380310.html;321496761-800-2;FAUX LEATHER OVERSIZED JACKET LIMITED EDITION;Oversized jacket. Notched lapel collar and long sleeves. Flap pockets at hip and interior pocket. Front button closure.;159.0;USD;2024-02-19T08:50:22.752699;jackets;MAN</t>
  </si>
  <si>
    <t>179801;Front of Store;No;Clothing;Yes;2608;Zara;https://www.zara.com/us/en/contrasting-patches-bomber-jacket-p06318411.html;311307255-800-2;CONTRASTING PATCHES BOMBER JACKET;Varsity jacket with elastic collar and long sleeves. Welt pockets at hip and interior pocket. Embroidered appliquÃ© and contrast front and back patches. Rib trim. Front snap button closure.;129.0;USD;2024-02-19T08:50:23.449176;jackets;MAN</t>
  </si>
  <si>
    <t>134927;Aisle;Yes;Clothing;Yes;2252;Zara;https://www.zara.com/us/en/patch-bomber-jacket-p03833404.html;317129011-500-2;PATCH BOMBER JACKET;Varsity jacket with padded interior. Rib elastic collar and long sleeves in contrast faux leather. Double welt pockets at hip and interior pocket. Contrasting patch appliquÃ©s at front and back. Rib trim. Front snap button closure.;129.0;USD;2024-02-19T08:50:23.929417;jackets;MAN</t>
  </si>
  <si>
    <t>123150;End-cap;Yes;Clothing;No;2074;Zara;https://www.zara.com/us/en/cropped-bomber-jacket-limited-edition-p08281600.html;330274270-800-2;CROPPED BOMBER JACKET LIMITED EDITION;Jacket with lightly padded interior. Rib collar and long sleeves. Flap pockets at waist. Rib trim. Front asymmetric zip closure.;129.0;USD;2024-02-19T08:50:24.492261;jackets;MAN</t>
  </si>
  <si>
    <t>159145;End-cap;Yes;Clothing;No;2579;Zara;https://www.zara.com/us/en/faux-leather-puffer-jacket-p03833302.html;311297855-800-2;FAUX LEATHER PUFFER JACKET;Faux leather jacket with padded interior. Lapel collar and long sleeves with snap buttoned cuffs. Welt pockets at hip and interior pocket. Elastic hem. Front zip hidden by a snap button flap.;109.0;USD;2024-02-19T08:50:25.084642;jackets;MAN</t>
  </si>
  <si>
    <t>172364;Aisle;Yes;Clothing;No;2931;Zara;https://www.zara.com/us/en/faux-leather-bomber-jacket-p08281667.html;317782474-800-2;FAUX LEATHER BOMBER JACKET;Jacket made of faux leather fabric. Rib elastic collar and long sleeves. Zip pockets with flaps at hip. Interior pocket. Elastic hem. Front zip closure.;109.0;USD;2024-02-19T08:50:26.108791;jackets;MAN</t>
  </si>
  <si>
    <t>178281;End-cap;No;Clothing;Yes;1145;Zara;https://www.zara.com/us/en/bomber-jacket-p06318502.html;315758723-401-2;BOMBER JACKET;Varsity jacket. High collar and long sleeves. Welt pockets at hip and interior pocket. Rib trim. Front snap button closure.;109.0;USD;2024-02-19T08:50:27.368815;jackets;MAN</t>
  </si>
  <si>
    <t>194339;End-cap;No;Clothing;No;1792;Zara;https://www.zara.com/us/en/faux-suede-jacket-p08281652.html;311302863-800-2;FAUX SUEDE JACKET;Lapel collar jacket with long sleeves with buttoned cuffs. Flap pockets at chest and welt pockets at hip. Front button closure.;89.9;USD;2024-02-19T08:50:28.013766;jackets;MAN</t>
  </si>
  <si>
    <t>174412;Aisle;No;Clothing;Yes;1796;Zara;https://www.zara.com/us/en/faux-suede-bomber-jacket-p08574500.html;311282759-806-2;FAUX SUEDE BOMBER JACKET;Jacket made of faux suede fabric. Rib elastic collar and long sleeves. Welt pockets at hip. Rib trim. Front zip closure.;69.9;USD;2024-02-19T08:50:28.575851;jackets;MAN</t>
  </si>
  <si>
    <t>114877;Aisle;No;Clothing;No;1860;Zara;https://www.zara.com/us/en/suede-jacket-p02521102.html;323134415-700-3;SUEDE JACKET;Jacket made of suede. Cropped length. Lapel collar and long sleeves. Front hidden in-seam pockets. Front zip closure.;349.0;USD;2024-02-19T08:50:29.497634;jackets;MAN</t>
  </si>
  <si>
    <t>140727;End-cap;Yes;Clothing;Yes;1002;Zara;https://www.zara.com/us/en/contrasting-collar-jacket-p01538369.html;312372582-526-2;CONTRASTING COLLAR JACKET;Jacket with lightly padded interior. Contrasting lapel collar. Long sleeves with buttoned cuffs. Washed effect. Double welt pockets at chest and hip. Front zip closure.;79.9;USD;2024-02-19T08:50:30.899896;jackets;MAN</t>
  </si>
  <si>
    <t>133109;Front of Store;No;Clothing;Yes;2063;Zara;https://www.zara.com/us/en/textured-jacket-p04302457.html;321143726-712-2;TEXTURED JACKET;Jacket made of textured fabric. Lapel collar and long sleeves with buttoned cuffs. Patch pockets at chest and hidden pockets at hip. Side vents at hem. Front button closure.;79.9;USD;2024-02-19T08:50:31.435371;jackets;MAN</t>
  </si>
  <si>
    <t>127296;Aisle;No;Clothing;No;1165;Zara;https://www.zara.com/us/en/cropped-textured-jacket-p01538410.html;320220949-507-2;CROPPED TEXTURED JACKET;Jacket made of dense cotton fabric cut on the bias. Lapel collar and long sleeves with buttoned cuffs. Welt pockets at hip and interior pocket. Cropped length. Front zip closure.;89.9;USD;2024-02-19T08:50:32.016086;jackets;MAN</t>
  </si>
  <si>
    <t>133757;Aisle;Yes;Clothing;No;2071;Zara;https://www.zara.com/us/en/pocket-puffer-jacket-p08281439.html;312664937-514-2;POCKET PUFFER JACKET;Quilted jacket made of technical fabric. High collar and long sleeves. Flap pocket at chest and hidden in-seam pockets at side hip. Interior pocket. Interior elastic hem. Cropped length. Front zip closure.;129.0;USD;2024-02-19T08:50:32.531017;jackets;MAN</t>
  </si>
  <si>
    <t>111760;End-cap;No;Clothing;No;1474;Zara;https://www.zara.com/us/en/technical-jacket-with-pockets-p03286501.html;321143723-401-2;TECHNICAL JACKET WITH POCKETS;Jacket made of technical fabric with quilted interior. Lapel collar and long sleeves. Flap patch pockets at hip. Rib trim. Front button closure.;109.0;USD;2024-02-19T08:50:33.138517;jackets;MAN</t>
  </si>
  <si>
    <t>198375;End-cap;No;Clothing;No;2202;Zara;https://www.zara.com/us/en/faux-leather-jacket-p08281345.html;311297763-800-2;FAUX LEATHER JACKET;Jacket made of faux leather fabric. Lapel collar and long sleeves with snap buttoned cuffs. Welt pockets at hip. Front snap button closure.;69.9;USD;2024-02-19T08:50:33.724614;jackets;MAN</t>
  </si>
  <si>
    <t>168837;Aisle;No;Clothing;No;665;Zara;https://www.zara.com/us/en/faux-suede-jacket-p03548689.html;311292194-731-2;FAUX SUEDE JACKET;Lapel collar jacket with long sleeves with buttoned cuffs. Flap pockets at chest and welt pockets at hip. Front button closure.;89.9;USD;2024-02-19T08:50:34.380743;jackets;MAN</t>
  </si>
  <si>
    <t>138505;Front of Store;No;Clothing;No;2478;Zara;https://www.zara.com/us/en/ripped-denim-jacket-p01538470.html;335663355-406-2;RIPPED DENIM JACKET;Denim jacket with lapel collar and long sleeves with buttoned cuffs. Flap pockets at chest and welt pockets at hip. All over washed effect and rips. Front button closure.;69.9;USD;2024-02-19T08:50:35.011352;jackets;MAN</t>
  </si>
  <si>
    <t>116228;End-cap;Yes;Clothing;No;647;Zara;https://www.zara.com/us/en/textured-pocket-jacket-p03918500.html;312363708-800-2;TEXTURED POCKET JACKET;Jacket with lightly padded interior. Lapel collar and long sleeves with buttoned cuffs. Flap pockets at chest and welt pockets at hip. Front button closure.;89.9;USD;2024-02-19T08:50:35.534355;jackets;MAN</t>
  </si>
  <si>
    <t>167592;Front of Store;Yes;Clothing;No;707;Zara;https://www.zara.com/us/en/faux-suede-patch-jacket-p08281357.html;312320664-251-2;FAUX SUEDE PATCH JACKET;Varsity jacket made of faux suede fabric. Lapel collar and long sleeves. Double welt pockets at hip and interior pocket. Front contrasting patch appliquÃ©s and embroidery. Rib trim. Front snap button closure.;89.9;USD;2024-02-19T08:50:36.278549;jackets;MAN</t>
  </si>
  <si>
    <t>133100;End-cap;Yes;Clothing;No;2729;Zara;https://www.zara.com/us/en/puffer-jacket-with-pouch-pocket-p00155401.html;311302445-445-97;PUFFER JACKET WITH POUCH POCKET;Jacket made of technical fabric with padded interior. High collar with front zip closure and long sleeves with elastic strap cuffs. Front and back contrast embroidered text. Zip pockets at hip. Adjustable elastic strap at hem with side zippers and strap.;89.9;USD;2024-02-19T08:50:37.262777;jackets;MAN</t>
  </si>
  <si>
    <t>119955;Front of Store;No;Clothing;No;1590;Zara;https://www.zara.com/us/en/bomber-jacket-p05039440.html;323216370-422-97;BOMBER JACKET;Boxy bomber jacket. Rib elastic collar and long sleeves. Welt pockets at hip. Elasticized trim. Front zip closure.;89.9;USD;2024-02-19T08:50:37.977065;jackets;MAN</t>
  </si>
  <si>
    <t>189349;End-cap;Yes;Clothing;No;1245;Zara;https://www.zara.com/us/en/textured-weave-overshirt-p01608101.html;317107014-707-2;TEXTURED WEAVE OVERSHIRT;Relaxed fit overshirt. Lapel collar and long sleeves with buttoned cuffs. Side hidden in-seam pockets. Front button closure.;89.9;USD;2024-02-19T08:50:38.675293;jackets;MAN</t>
  </si>
  <si>
    <t>127478;Front of Store;No;Clothing;Yes;2498;Zara;https://www.zara.com/us/en/straight-suit-jacket-p04143291.html;328594167-800-46;STRAIGHT SUIT JACKET;Straight fit blazer. Notched lapel collar and long sleeves with buttoned cuffs. Flap pockets at hip. Interior pocket. Central back vent at hem. Front button closure.;129.0;USD;2024-02-19T08:50:39.146924;jackets;MAN</t>
  </si>
  <si>
    <t>180661;Front of Store;No;Clothing;Yes;1041;Zara;https://www.zara.com/us/en/hooded-quilted-jacket-p00029501.html;311309598-711-2;HOODED QUILTED JACKET;Puffer jacket with high collar and adjustable hood. Long sleeves with interior rib cuffs. Welt pockets at hip and interior pocket. Adjustable hem with side elastics. Front zip hidden by a snap button flap.;129.0;USD;2024-02-19T08:50:39.688602;jackets;MAN</t>
  </si>
  <si>
    <t>186681;End-cap;No;Clothing;Yes;1717;Zara;https://www.zara.com/us/en/lightweight-puffer-jacket-p04302520.html;267133943-711-2;LIGHTWEIGHT PUFFER JACKET;Padded jacket made of technical fabric. High collar and long sleeves. Welt pockets at hip. Elasticized trim. Front zip closure.;19.99;USD;2024-02-19T08:50:40.213708;jackets;MAN</t>
  </si>
  <si>
    <t>133183;Front of Store;Yes;Clothing;Yes;2859;Zara;https://www.zara.com/us/en/cotton-blend-bomber-jacket-p06518350.html;318265017-401-2;COTTON BLEND BOMBER JACKET;Jacket made of cotton blend fabric. High collar and long sleeves. Welt pockets at hip. Rib trim. Cropped length. Front zip closure.;89.9;USD;2024-02-19T08:50:40.898654;jackets;MAN</t>
  </si>
  <si>
    <t>173508;Aisle;Yes;Clothing;No;1658;Zara;https://www.zara.com/us/en/pocket-jacket-p06318507.html;322410604-401-2;POCKET JACKET;Jacket made of dense technical fabric. Lapel collar and long sleeves with buttoned cuffs. Multi-functional front pockets. Front zip hidden by a snap button flap.;129.0;USD;2024-02-19T08:50:41.427891;jackets;MAN</t>
  </si>
  <si>
    <t>187930;End-cap;No;Clothing;Yes;706;Zara;https://www.zara.com/us/en/oversized-bomber-jacket-p08281311.html;324149982-982-2;OVERSIZED BOMBER JACKET;Oversized jacket made of technical fabric. High collar and long sleeves with pocket detail. Welt pockets at hip and interior pocket. Rib trim. Adjustable asymmetric hem with side zippers. Front zip closure.;89.9;USD;2024-02-19T08:50:41.944116;jackets;MAN</t>
  </si>
  <si>
    <t>124088;End-cap;Yes;Clothing;Yes;2065;Zara;https://www.zara.com/us/en/embroidered-patch-jacket-p05320345.html;320531693-707-2;EMBROIDERED PATCH JACKET;Roomy jacket made of lightweight fabric. Lapel collar and long sleeves with elastic cuffs. Contrasting patch appliquÃ©s with embroidery at front and back. Front pouch pocket. Elastic hem. Front zip closure.;79.9;USD;2024-02-19T08:50:42.629521;jackets;MAN</t>
  </si>
  <si>
    <t>190238;Front of Store;No;Clothing;Yes;1917;Zara;https://www.zara.com/us/en/acid-wash-denim-jacket-p06688401.html;328279967-409-3;ACID WASH DENIM JACKET;Jacket made of cotton denim. Lapel collar and long sleeves with buttoned cuffs. Patch pockets at chest and side pockets at hip. Washed effect. Front zip closure.;89.9;USD;2024-02-19T08:50:43.067567;jackets;MAN</t>
  </si>
  <si>
    <t>151925;End-cap;Yes;Clothing;Yes;2179;Zara;https://www.zara.com/us/en/vintage-effect-leather-bomber-jacket-p02521300.html;320774184-800-97;VINTAGE EFFECT LEATHER BOMBER JACKET;;299.0;USD;2024-02-19T08:50:43.543555;jackets;MAN</t>
  </si>
  <si>
    <t>163234;Front of Store;No;Clothing;No;1633;Zara;https://www.zara.com/us/en/textured-denim-jacket-limited-edition-p01538430.html;322972491-800-2;TEXTURED DENIM JACKET LIMITED EDITION;Lapel collar jacket with long sleeves with buttoned cuffs. Flap pockets at chest and welt pockets at hip. All over washed and uneven textured effect. Front button closure.;89.9;USD;2024-02-19T08:50:44.126726;jackets;MAN</t>
  </si>
  <si>
    <t>135610;Aisle;Yes;Clothing;Yes;1513;Zara;https://www.zara.com/us/en/wool-blend-jacket-p09621448.html;321501682-800-2;WOOL BLEND JACKET;Jacket made of wool blend fabric. Lapel collar and long sleeves. Welt pockets at hip and interior pocket. Rib trim. Front zip closure.;109.0;USD;2024-02-19T08:50:45.034237;jackets;MAN</t>
  </si>
  <si>
    <t>117065;Aisle;Yes;Clothing;Yes;758;Zara;https://www.zara.com/us/en/cotton---linen-blend-jacket-p00706103.html;328616906-712-2;COTTON - LINEN BLEND JACKET;Jacket made of cotton and linen blend fabric. Lapel collar and long sleeves with buttoned cuffs. Patch pocket at chest and side pockets at hip. Elastic hem. Front zip closure.;109.0;USD;2024-02-19T08:50:45.809524;jackets;MAN</t>
  </si>
  <si>
    <t>149315;End-cap;Yes;Clothing;No;718;Zara;https://www.zara.com/us/en/fleece-bomber-jacket-p08281405.html;311292541-802-2;FLEECE BOMBER JACKET;Jacket made of faux shearling fabric. Rib elastic collar and long sleeves. Welt pockets at hip and interior pocket. Rib trim. Front zip closure.;109.0;USD;2024-02-19T08:50:46.259361;jackets;MAN</t>
  </si>
  <si>
    <t>149510;Aisle;No;Clothing;Yes;1412;Zara;https://www.zara.com/us/en/zippered-jacket-p04087418.html;319205114-807-2;ZIPPERED JACKET;Lapel collar jacket with long sleeves. Front pouch pockets. Front zip closure.;59.9;USD;2024-02-19T08:50:47.254145;jackets;MAN</t>
  </si>
  <si>
    <t>137990;Aisle;No;Clothing;No;2929;Zara;https://www.zara.com/us/en/cotton-jacket-p00706301.html;276213846-500-2;COTTON JACKET;Lapel collar jacket with long sleeves with elastic cuffs. Patch pockets at hip. Elastic hem. Front snap button closure.;29.99;USD;2024-02-19T08:50:49.940814;jackets;MAN</t>
  </si>
  <si>
    <t>154016;End-cap;Yes;Clothing;Yes;2366;Zara;https://www.zara.com/us/en/wool-blend-textured-jacket-p04296310.html;328244979-064-48;WOOL BLEND TEXTURED JACKET;Jacket made of wool blend fabric. Pointed lapel collar and long sleeves with buttoned cuffs. Welt pockets at chest and flap pockets at hip. Interior pocket. Back vents. Front double breasted button closure.;189.0;USD;2024-02-19T08:50:48.692260;jackets;MAN</t>
  </si>
  <si>
    <t>117751;Aisle;No;Clothing;No;2749;Zara;https://www.zara.com/us/en/contrast-jacquard-jacket-p04087423.html;323050745-798-97;CONTRAST JACQUARD JACKET;Full cut jacket with lapel collar and long sleeves. Front button closure.;89.9;USD;2024-02-19T08:50:51.200272;jackets;MAN</t>
  </si>
  <si>
    <t>182362;Front of Store;No;Clothing;No;2019;Zara;https://www.zara.com/us/en/cropped-overshirt-p04432403.html;319166635-401-2;CROPPED OVERSHIRT;Cropped overshirt made of contrast double faced fabric. Lapel collar and long sleeves with buttoned cuffs. Chest patch pocket. Adjustable hem with side elastics. Front button closure partially hidden by a flap.;69.9;USD;2024-02-19T08:50:51.711859;jackets;MAN</t>
  </si>
  <si>
    <t>117725;Aisle;No;Clothing;Yes;1506;Zara;https://www.zara.com/us/en/contrasting-patches-hooded-jacket-p03833400.html;311297489-800-2;CONTRASTING PATCHES HOODED JACKET;Varsity jacket with stretchy collar and contrasting hood. Long sleeves. Welt pockets at hip and interior pocket. Embroidered appliquÃ© and contrast front and back patches. Rib trim. Front snap button closure.;109.0;USD;2024-02-19T08:50:52.206404;jackets;MAN</t>
  </si>
  <si>
    <t>145289;End-cap;No;Clothing;No;1012;Zara;https://www.zara.com/us/en/utility-pocket-jacket-p05520451.html;311292073-709-2;UTILITY POCKET JACKET;Cropped jacket. Lapel collar and long sleeves. Front utility pockets with zip closure. Washed effect. Elastic hem. Adjustable hem with side elastics. Front zip closure.;109.0;USD;2024-02-19T08:50:52.732112;jackets;MAN</t>
  </si>
  <si>
    <t>173576;End-cap;Yes;Clothing;No;1838;Zara;https://www.zara.com/us/en/-p04310461.html;336378923-700-2;;;129.0;USD;2024-02-19T08:50:54.476057;jackets;MAN</t>
  </si>
  <si>
    <t>175059;Aisle;Yes;Clothing;No;2170;Zara;https://www.zara.com/us/en/lightweight-bomber-jacket-p04302404.html;311292572-401-2;LIGHTWEIGHT BOMBER JACKET;Lightweight jacket made of technical fabric. Round neck and long sleeves. Welt pockets at hip. Interior pocket. Rib trim. Front zip closure.;49.9;USD;2024-02-19T08:50:54.927480;jackets;MAN</t>
  </si>
  <si>
    <t>199368;Front of Store;No;Clothing;Yes;1061;Zara;https://www.zara.com/us/en/wool-blend-jacket-p05854654.html;336821611-706-2;WOOL BLEND JACKET;Lapel collar jacket with long sleeves with buttoned cuffs. Chest patch pockets and welt pockets at hip. Front button closure.;139.0;USD;2024-02-19T08:50:55.455689;jackets;MAN</t>
  </si>
  <si>
    <t>162883;Front of Store;Yes;Clothing;No;786;Zara;https://www.zara.com/us/en/technical-padded-jacket-p06518501.html;311307584-518-2;TECHNICAL PADDED JACKET;Jacket made of technical fabric with padded interior. High collar with foldable interior hood. Long sleeves with interior rib cuffs. Front pockets with hidden zip closure and interior pocket detail. Adjustable hem with side elastics. Front zip hidden by a snap button flap.;139.0;USD;2024-02-19T08:50:55.898064;jackets;MAN</t>
  </si>
  <si>
    <t>135490;Front of Store;No;Clothing;No;1094;Zara;https://www.zara.com/us/en/mixed-collar-waxed-jacket-p06861405.html;321151893-609-2;MIXED COLLAR WAXED JACKET;Jacket made of waxed finish fabric with lightly padded interior. Contrast fabric lapel collar. Long sleeves. Patch pockets at hip. Interior pocket. Slightly cropped length. Front hidden zip and button closure.;139.0;USD;2024-02-19T08:50:56.349784;jackets;MAN</t>
  </si>
  <si>
    <t>125408;End-cap;Yes;Clothing;Yes;2220;Zara;https://www.zara.com/us/en/contrasting-patches-bomber-jacket-p03833401.html;311297509-800-2;CONTRASTING PATCHES BOMBER JACKET;Varsity jacket with elastic collar and long sleeves. Welt pockets at hip and interior pocket. Embroidered appliquÃ© and contrast front and back patches. Rib trim. Front snap button closure.;89.9;USD;2024-02-19T08:50:56.784017;jackets;MAN</t>
  </si>
  <si>
    <t>134763;Front of Store;No;Clothing;Yes;2048;Zara;https://www.zara.com/us/en/padded-bomber-jacket-p03918620.html;315947178-800-2;PADDED BOMBER JACKET;Quilted jacket made of technical fabric. Lapel collar and long sleeves. Welt pockets at hip. Rib trim. Front zip closure.;89.9;USD;2024-02-19T08:50:57.586300;jackets;MAN</t>
  </si>
  <si>
    <t>143231;Aisle;No;Clothing;No;2578;Zara;https://www.zara.com/us/en/technical-padded-jacket-p03833311.html;311297745-800-2;TECHNICAL PADDED JACKET;Jacket made of technical fabric with padded interior. Lapel collar and long sleeves with elastic cuffs. Welt pockets at hip and interior pocket. Adjustable drawstring hem. Front snap button closure.;89.9;USD;2024-02-19T08:50:58.065096;jackets;MAN</t>
  </si>
  <si>
    <t>125409;End-cap;Yes;Clothing;No;2040;Zara;https://www.zara.com/us/en/pocket-denim-jacket-p00840482.html;330290360-427-3;POCKET DENIM JACKET;Slightly cropped denim jacket. Lapel collar and long sleeves with buttoned cuffs. Flap patch pocket at chest and side hip. Washed effect. Front button closure.;89.9;USD;2024-02-19T08:50:58.577931;jackets;MAN</t>
  </si>
  <si>
    <t>183074;Aisle;No;Clothing;No;2791;Zara;https://www.zara.com/us/en/boxy-fit-denim-jacket-p00840402.html;320449897-427-2;BOXY FIT DENIM JACKET;Boxy fit jacket. Lapel collar and long sleeves with buttoned cuffs. Patch pockets at hip. Washed effect.Asymmetric hem with side vents. Front button closure.;89.9;USD;2024-02-19T08:50:59.005564;jackets;MAN</t>
  </si>
  <si>
    <t>147947;Aisle;Yes;Clothing;Yes;1249;Zara;https://www.zara.com/us/en/faux-shearling-plaid-jacket-p00993305.html;311297724-700-97;FAUX SHEARLING PLAID JACKET;Jacket made of faux shearling fabric. V-neckline and long sleeves with elastic cuffs. Lined interior with structured mesh fabric. Welt pockets at hip. Adjustable hem with side elastics. Front snap button closure.;89.9;USD;2024-02-19T08:50:59.512967;jackets;MAN</t>
  </si>
  <si>
    <t>174171;Front of Store;Yes;Clothing;Yes;2273;Zara;https://www.zara.com/us/en/embroidered-forest-jacket-p02795407.html;328332050-700-97;EMBROIDERED FOREST JACKET;Jacket with lightly padded interior. Corduroy lapel collar. Long sleeves. Patch pockets at hip. Front button closure.;89.9;USD;2024-02-19T08:50:59.919169;jackets;MAN</t>
  </si>
  <si>
    <t>183064;Front of Store;Yes;Clothing;No;1773;Zara;https://www.zara.com/us/en/pocket-overshirt-p05070605.html;311282469-505-2;POCKET OVERSHIRT;Cropped overshirt. Lapel collar and long sleeves with buttoned cuffs. Front patch pockets. Irregular finished seams. Front button closure.;89.9;USD;2024-02-19T08:51:00.445955;jackets;MAN</t>
  </si>
  <si>
    <t>177131;Aisle;Yes;Clothing;Yes;1733;Zara;https://www.zara.com/us/en/boucle-textured-vest-p01437303.html;319502128-515-2;BOUCLE TEXTURED VEST;Vest made of viscose and wool blend fabric. V-neckline. Patch pockets at hip. Front zip closure.;69.9;USD;2024-02-19T08:51:00.909778;jackets;MAN</t>
  </si>
  <si>
    <t>128179;End-cap;Yes;Clothing;No;2060;Zara;https://www.zara.com/us/en/color-block-puffer-jacket-p08281365.html;311287226-472-2;COLOR BLOCK PUFFER JACKET;Jacket made of technical fabric with padded interior. High collar and long sleeves with elastic cuffs. Front pockets with hidden zip closure. Elastic hem. Front zip closure.;89.9;USD;2024-02-19T08:51:03.376537;jackets;MAN</t>
  </si>
  <si>
    <t>152723;Aisle;No;Clothing;Yes;2849;Zara;https://www.zara.com/us/en/longline-quilted-jacket-p05071688.html;316683359-818-2;LONGLINE QUILTED JACKET;Parka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flap.;169.0;USD;2024-02-19T08:51:03.976837;jackets;MAN</t>
  </si>
  <si>
    <t>123824;Aisle;Yes;Clothing;No;2277;Zara;https://www.zara.com/us/en/wool-blend-suit-jacket-p04156504.html;322901350-800-46;WOOL BLEND SUIT JACKET;Straight fit jacket made of wool blend fabric. Notched lapel collar and long sleeves with buttoned cuffs. Welt pockets at chest and flap pockets at hip. Interior pocket. Central vent at back hem. Front button closure.;169.0;USD;2024-02-19T08:51:04.381493;jackets;MAN</t>
  </si>
  <si>
    <t>166345;Aisle;No;Clothing;Yes;1135;Zara;https://www.zara.com/us/en/hooded-knit-cardigan-p02621407.html;322929313-802-97;HOODED KNIT CARDIGAN;Cotton knit jacket. Hooded collar and long sleeves. Rib trim. Front pouch pockets. Rib trim. Front zip closure.;69.9;USD;2024-02-19T08:51:04.832708;jackets;MAN</t>
  </si>
  <si>
    <t>199279;Aisle;No;Clothing;No;1770;Zara;https://www.zara.com/us/en/hooded-technical-jacket-p01538301.html;267186163-643-2;HOODED TECHNICAL JACKET;Jacket made of technical fabric with brushed interior. High collar with adjustable hood. Long sleeves with cuffs and adhesive straps. Zip pockets at chest and hip. Front zip closure.;19.99;USD;2024-02-19T08:51:05.301146;jackets;MAN</t>
  </si>
  <si>
    <t>167981;End-cap;No;Clothing;No;730;Zara;https://www.zara.com/us/en/houndstooth-suit-jacket-p04285498.html;329706743-401-46;HOUNDSTOOTH SUIT JACKET;Straight fit blazer. Notched lapel collar and long sleeves with buttoned cuffs. Welt pocket at chest and flap pockets at hip. Interior pocket. Back vents. Front button closure.;139.0;USD;2024-02-19T08:51:05.729975;jackets;MAN</t>
  </si>
  <si>
    <t>146839;Aisle;No;Clothing;No;1525;Zara;https://www.zara.com/us/en/bomber-jacket-p05344402.html;321496813-710-2;BOMBER JACKET;Jacket with padded interior. Rib elastic collar and long sleeves. Flap pockets at hip and interior pocket. Rib trim. Front zip closure.;109.0;USD;2024-02-19T08:51:06.241653;jackets;MAN</t>
  </si>
  <si>
    <t>187180;Front of Store;No;Clothing;Yes;647;Zara;https://www.zara.com/us/en/hooded-technical-jacket-p00155502.html;312596416-800-2;HOODED TECHNICAL JACKET;Cropped jacket made of technical fabric. Hooded high collar and long sleeves with adjustable snap button cuffs. Front patch pockets with flaps at hips. Adjustable hem with side elastics. Front zip hidden by a snap button flap.;109.0;USD;2024-02-19T08:51:06.707251;jackets;MAN</t>
  </si>
  <si>
    <t>167640;End-cap;Yes;Clothing;Yes;1017;Zara;https://www.zara.com/us/en/hooded-technical-jacket-p08281355.html;311287132-251-2;HOODED TECHNICAL JACKET;Jacket made of technical fabric. High collar with adjustable drawstring hood. Long sleeves with rib cuffs. Chest welt pocket and hip patch pockets. Interior pocket. Adjustable hem with elastics at sides. Front zip hidden by a snap button flap.;109.0;USD;2024-02-19T08:51:07.123755;jackets;MAN</t>
  </si>
  <si>
    <t>165158;Front of Store;No;Clothing;No;1622;Zara;https://www.zara.com/us/en/washed-effect-bomber-jacket-p08281307.html;323675323-700-2;WASHED EFFECT BOMBER JACKET;Jacket made of technical fabric. Lapel collar and long sleeves with pocket detail. Welt pockets at hip and interior pocket. Washed effect. Elasticized trim. Front zip hidden by a snap button flap.;109.0;USD;2024-02-19T08:51:07.574182;jackets;MAN</t>
  </si>
  <si>
    <t>111521;Front of Store;Yes;Clothing;Yes;2553;Zara;https://www.zara.com/us/en/washed-technical-jacket-p04695300.html;323672371-507-2;WASHED TECHNICAL JACKET;Jacket made of technical fabric. High collar and long sleeves with adjustable cuffs with snap button straps. Flap patch pockets at hip. Adjustable drawstring hem. Washed effect. Front zip hidden by a snap button flap.;99.9;USD;2024-02-19T08:51:08.034717;jackets;MAN</t>
  </si>
  <si>
    <t>120228;End-cap;No;Clothing;No;2347;Zara;https://www.zara.com/us/en/100-feather-fill-puffer-jacket-p00155480.html;327116625-505-2;100% FEATHER FILL PUFFER JACKET;Puffer vest made of technical fabric. Fill is a blend of 60% down and 40% feather. Sleeveless design with high collar. Zip pockets at hip and interior pocket. Adjustable hem with side elastics. Front snap button closure.;89.9;USD;2024-02-19T08:51:09.075286;jackets;MAN</t>
  </si>
  <si>
    <t>133078;Aisle;No;Clothing;Yes;2535;Zara;https://www.zara.com/us/en/padded-bomber-jacket-p03918400.html;311302424-409-2;PADDED BOMBER JACKET;Jacket made of technical fabric with lightly padded interior. Rib elastic collar and long sleeves. Zip pockets at hip. Elastic hem. Front zip closure.;69.9;USD;2024-02-19T08:51:09.691591;jackets;MAN</t>
  </si>
  <si>
    <t>137598;Aisle;No;Clothing;Yes;2839;Zara;https://www.zara.com/us/en/pocket-jacket-p04297266.html;329158644-605-2;POCKET JACKET;Regular fit jacket with lapel collar and long sleeves. Patch pockets at chest and hip. Front button closure.;139.0;USD;2024-02-19T08:51:16.093596;jackets;MAN</t>
  </si>
  <si>
    <t>138779;Front of Store;Yes;Clothing;Yes;2801;Zara;https://www.zara.com/us/en/slim-fit-suit-jacket-p04239493.html;329300083-705-48;SLIM FIT SUIT JACKET;Slim fit jacket made of viscose blend fabric. Notched lapel collar. Long sleeves with buttoned cuffs. Welt pocket at chest and flap pockets at hip. Interior pocket. Back vents. Front button closure.;139.0;USD;2024-02-19T08:51:16.538826;jackets;MAN</t>
  </si>
  <si>
    <t>198329;Front of Store;Yes;Clothing;Yes;628;Zara;https://www.zara.com/us/en/mixed-collar-jacket-p03046507.html;323212374-510-2;MIXED COLLAR JACKET;Jacket made of technical fabric with lightly padded interior. Rib high collar. Long sleeves with elastic cuffs. Patch pockets at hip. Front zip closure.;109.0;USD;2024-02-19T08:51:16.995121;jackets;MAN</t>
  </si>
  <si>
    <t>110295;End-cap;Yes;Clothing;No;1448;Zara;https://www.zara.com/us/en/hooded-denim-jacket-p01538428.html;322547863-811-2;HOODED DENIM JACKET;Boxy fit jacket. High collar with adjustable hood and long sleeves with buttoned cuffs. Patch pockets with flaps at chest. Front straps with multi-functional ring. Washed effect. Front hidden zip and snap button closure.;129.0;USD;2024-02-19T08:51:17.402321;jackets;MAN</t>
  </si>
  <si>
    <t>196427;Aisle;Yes;Clothing;No;1401;Zara;https://www.zara.com/us/en/waxed-effect-plaid-jacket-p04272302.html;320600266-745-2;WAXED EFFECT PLAID JACKET;Cropped jacket made of cotton with waxed finish. Lapel collar and long adjustable cuffed sleeves. Welt pockets at hip and interior pocket. Adjustable front drawcord hem. Front zip closure.;169.0;USD;2024-02-19T08:51:17.903438;jackets;MAN</t>
  </si>
  <si>
    <t>110075;Front of Store;Yes;Clothing;Yes;2185;Zara;https://www.zara.com/us/en/wool-blend-felt-texture-jacket-p04160752.html;320771732-800-2;WOOL BLEND FELT TEXTURE JACKET;Cropped jacket made with wool blend fabric. Lapel collar and long sleeves. Welt pockets at hip. Front hidden button closure.;159.0;USD;2024-02-19T08:51:18.383516;jackets;MAN</t>
  </si>
  <si>
    <t>132322;Front of Store;Yes;Clothing;No;2135;Zara;https://www.zara.com/us/en/printed-denim-overshirt-p02553808.html;289179723-020-2;PRINTED DENIM OVERSHIRT;Boxy fit overshirt. Lapel collar and short sleeves. Front snap button closure.;12.99;USD;2024-02-19T08:51:30.601748;jackets;MAN</t>
  </si>
  <si>
    <t>199631;Front of Store;Yes;Clothing;No;1269;Zara;https://www.zara.com/us/en/structured-twill-overshirt-p06861430.html;327747299-800-2;STRUCTURED TWILL OVERSHIRT;Regular fit overshirt made of 22% wool fabric. Lapel collar and long sleeves with buttoned cuffs. Patch pocket at chest and side pockets at hip. Side vents at hem. Front button closure.;89.9;USD;2024-02-19T08:51:31.586576;jackets;MAN</t>
  </si>
  <si>
    <t>182306;Front of Store;No;Clothing;No;2805;Zara;https://www.zara.com/us/en/cotton-overshirt-p09621103.html;317782501-701-2;COTTON OVERSHIRT;Relaxed fit overshirt made with cotton fabric. Lapel collar and long sleeves with buttoned cuffs. Flap patch pockets at chest and side hip pockets. Front button closure.;89.9;USD;2024-02-19T08:51:32.152112;jackets;MAN</t>
  </si>
  <si>
    <t>194915;Aisle;Yes;Clothing;No;1796;Zara;https://www.zara.com/us/en/reversible-plaid-overshirt-p09621301.html;311282298-099-2;REVERSIBLE PLAID OVERSHIRT;Relaxed fit reversible overshirt. Italian collar and long sleeves with buttoned cuffs. Chest patch pocket. Front button closure.;79.9;USD;2024-02-19T08:51:32.570179;jackets;MAN</t>
  </si>
  <si>
    <t>131298;End-cap;Yes;Clothing;No;2133;Zara;https://www.zara.com/us/en/plaid-overshirt-p01300100.html;322612356-505-2;PLAID OVERSHIRT;Relaxed fit overshirt made with cotton fabric. Lapel collar and long sleeves with buttoned cuffs. Patch pockets at hip. Washed effect. Front button closure.;69.9;USD;2024-02-19T08:51:33.175357;jackets;MAN</t>
  </si>
  <si>
    <t>168571;Aisle;No;Clothing;No;1778;Zara;https://www.zara.com/us/en/pocket-overshirt-p00706621.html;311282631-712-2;POCKET OVERSHIRT;Relaxed fit overshirt. Lapel collar and long sleeves with adjustable button cuffs. Welt pockets at hip. Front zip hidden by a snap button flap.;89.9;USD;2024-02-19T08:51:33.607793;jackets;MAN</t>
  </si>
  <si>
    <t>154224;End-cap;Yes;Clothing;No;2474;Zara;https://www.zara.com/us/en/100-linen-overshirt-p04224708.html;329282612-401-2;100% LINEN OVERSHIRT;Relaxed fit overshirt made of linen fabric. Lapel collar and long sleeves with buttoned cuffs. Chest patch pockets. Front button closure.;89.9;USD;2024-02-19T08:51:34.039876;jackets;MAN</t>
  </si>
  <si>
    <t>171061;Aisle;No;Clothing;Yes;2032;Zara;https://www.zara.com/us/en/plaid-overshirt-p08281303.html;320026789-714-2;PLAID OVERSHIRT;Relaxed fit overshirt made of viscose blend fabric. Lapel collar and long sleeves with buttoned cuffs. Chest patch pocket. Front button closure.;59.9;USD;2024-02-19T08:51:34.443542;jackets;MAN</t>
  </si>
  <si>
    <t>119049;Aisle;No;Clothing;Yes;1659;Zara;https://www.zara.com/us/en/pocket-denim-overshirt-p01472403.html;323216360-406-2;POCKET DENIM OVERSHIRT;Boxy fit overshirt. Lapel collar and long sleeves with buttoned cuffs. Chest patch pockets. Washed effect. Front button closure.;89.9;USD;2024-02-19T08:51:35.399786;jackets;MAN</t>
  </si>
  <si>
    <t>158781;End-cap;Yes;Clothing;Yes;2443;Zara;https://www.zara.com/us/en/faux-suede-overshirt-p03715303.html;318209963-800-2;FAUX SUEDE OVERSHIRT;Relaxed fit overshirt. Lapel collar and long sleeves. Chest patch pocket. Front snap button closure.;69.9;USD;2024-02-19T08:51:35.881086;jackets;MAN</t>
  </si>
  <si>
    <t>151438;Aisle;No;Clothing;Yes;1137;Zara;https://www.zara.com/us/en/plaid-overshirt-p00794432.html;316727555-700-2;PLAID OVERSHIRT;Regular fit overshirt. Lapel collar and long sleeves with buttoned cuffs. Front zip closure.;69.9;USD;2024-02-19T08:51:36.352963;jackets;MAN</t>
  </si>
  <si>
    <t>152871;End-cap;No;Clothing;Yes;1847;Zara;https://www.zara.com/us/en/textured-pocket-overshirt-p01934436.html;312571093-710-2;TEXTURED POCKET OVERSHIRT;Overshirt made of diagonal textured cotton fabric. Lapel collar and long sleeves with buttoned cuffs. Patch pockets at hip. Front button closure.;69.9;USD;2024-02-19T08:51:36.786369;jackets;MAN</t>
  </si>
  <si>
    <t>126806;End-cap;Yes;Clothing;Yes;2404;Zara;https://www.zara.com/us/en/pocket-overshirt-p04466468.html;330290387-401-2;POCKET OVERSHIRT;Relaxed fit overshirt made of 25% wool fabric. Lapel collar and long sleeves with buttoned cuffs. Patch pocket at chest and side pockets at hip. Front button closure.;109.0;USD;2024-02-19T08:51:37.296998;jackets;MAN</t>
  </si>
  <si>
    <t>134104;End-cap;No;Clothing;Yes;1466;Zara;https://www.zara.com/us/en/overshirt-p00706623.html;313027279-800-2;OVERSHIRT;Relaxed fit overshirt made of stretch fabric. Lapel collar and long sleeves with buttoned cuffs. Chest patch pocket. Front button closure.;59.9;USD;2024-02-19T08:51:37.741280;jackets;MAN</t>
  </si>
  <si>
    <t>120266;Front of Store;No;Clothing;No;2328;Zara;https://www.zara.com/us/en/plaid-overshirt-p04266381.html;320671529-802-2;PLAID OVERSHIRT;Cropped overshirt. Lapel collar and long sleeves with buttoned cuffs. Chest patch pocket. Irregular trim. Front button closure.;59.9;USD;2024-02-19T08:51:38.232540;jackets;MAN</t>
  </si>
  <si>
    <t>173550;End-cap;No;Clothing;Yes;1431;Zara;https://www.zara.com/us/en/pocket-overshirt-p05070314.html;323646471-802-2;POCKET OVERSHIRT;Overshirt with lapel collar and long sleeves with buttoned cuffs. Chest patch pocket. Front button closure.;59.9;USD;2024-02-19T08:51:38.734215;jackets;MAN</t>
  </si>
  <si>
    <t>175927;End-cap;No;Clothing;Yes;1506;Zara;https://www.zara.com/us/en/zippered-wool-blend-overshirt-p05854401.html;312978838-611-2;ZIPPERED WOOL BLEND OVERSHIRT;Relaxed fit overshirt made of wool blend fabric. Lapel collar and long sleeves with buttoned cuffs. Welt pockets at hip. Front zip closure.;109.0;USD;2024-02-19T08:51:39.179120;jackets;MAN</t>
  </si>
  <si>
    <t>154278;End-cap;No;Clothing;Yes;2749;Zara;https://www.zara.com/us/en/geometric-jacquard-overshirt-p04196412.html;336446858-822-2;GEOMETRIC JACQUARD OVERSHIRT;Relaxed fit overshirt made with cotton fabric. Lapel collar and long sleeves with buttoned cuffs. Welt pockets at hip. Front button closure.;89.9;USD;2024-02-19T08:51:39.644283;jackets;MAN</t>
  </si>
  <si>
    <t>183537;Front of Store;Yes;Clothing;Yes;2434;Zara;https://www.zara.com/us/en/paint-print-overshirt-p05320305.html;281883711-071-2;PAINT PRINT OVERSHIRT;Relaxed fit overshirt. Lapel collar and long sleeves with snap button cuffs. Chest patch pockets. Side vents at hem. Front snap button closure.;19.99;USD;2024-02-19T08:51:40.120546;jackets;MAN</t>
  </si>
  <si>
    <t>150424;Front of Store;No;Clothing;Yes;2067;Zara;https://www.zara.com/us/en/padded-corduroy-overshirt-p01063400.html;313008692-514-2;PADDED CORDUROY OVERSHIRT;Overshirt with quilted interior. Lapel collar and long sleeves with buttoned cuffs. Flap patch pockets at chest and in-seam pockets at side hip. Front snap button closure.;79.9;USD;2024-02-19T08:51:40.636181;jackets;MAN</t>
  </si>
  <si>
    <t>183825;Aisle;Yes;Clothing;Yes;2989;Zara;https://www.zara.com/us/en/plaid-tie-dye-overshirt-p01063313.html;281593208-015-2;PLAID TIE DYE OVERSHIRT;Regular fit overshirt made of cotton. Lapel collar and long sleeves with buttoned cuffs. Chest patch pockets. Front button closure.;19.99;USD;2024-02-19T08:51:41.127759;jackets;MAN</t>
  </si>
  <si>
    <t>144012;Front of Store;Yes;Clothing;No;743;Zara;https://www.zara.com/us/en/overshirt-with-contrasting-topstitching-p06917325.html;314937772-710-2;OVERSHIRT WITH CONTRASTING TOPSTITCHING;Relaxed fit overshirt made with cotton fabric. Lapel collar and long sleeves with buttoned cuffs. Chest patch pocket. Contrasting topstitching all over the garment. Front button closure.;59.9;USD;2024-02-19T08:51:41.683535;jackets;MAN</t>
  </si>
  <si>
    <t>147051;Front of Store;No;Clothing;No;2325;Zara;https://www.zara.com/us/en/quilted-structured-overshirt-p09621370.html;320278659-251-2;QUILTED STRUCTURED OVERSHIRT;Regular fit overshirt with quilted interior. Lapel collar and long sleeves with buttoned cuffs. Patch pockets at chest and welt pockets at hip. Front button closure.;109.0;USD;2024-02-19T08:51:42.158903;jackets;MAN</t>
  </si>
  <si>
    <t>185800;End-cap;No;Clothing;Yes;1841;Zara;https://www.zara.com/us/en/technical-overshirt-p05320500.html;321993245-500-2;TECHNICAL OVERSHIRT;Regular fit overshirt with lightly padded interior. Lapel collar and long sleeves with buttoned cuffs. Flap pockets at hip. Front button closure.;109.0;USD;2024-02-19T08:51:42.644399;jackets;MAN</t>
  </si>
  <si>
    <t>197524;Aisle;Yes;Clothing;Yes;2231;Zara;https://www.zara.com/us/en/plaid-overshirt-p07446410.html;330590505-500-2;PLAID OVERSHIRT;Relaxed fit overshirt. Lapel collar and long sleeves with buttoned cuffs. Chest patch pocket. Front button closure.;49.9;USD;2024-02-19T08:51:43.194626;jackets;MAN</t>
  </si>
  <si>
    <t>148823;Aisle;No;Clothing;Yes;2211;Zara;https://www.zara.com/us/en/suede-fisherman-sandals-p12436320.html;320680326-107-39;SUEDE FISHERMAN SANDALS;Fisherman sandals. Made of leather with a suede finish. Crossed straps at front. Buckled ankle strap closure. Slightly chunky soles.;89.9;USD;2024-02-19T09:00:28.426225;shoes;MAN</t>
  </si>
  <si>
    <t>114550;End-cap;No;Clothing;No;2114;Zara;https://www.zara.com/us/en/zipper-multipiece-sneakers-p12319220.html;311292244-800-39;ZIPPER MULTIPIECE SNEAKERS;Running shoes. Upper in a combination of pieces and finishes. Front zip closure. Back pull tab for ease. Chunky soles with irregular design.;69.9;USD;2024-02-19T09:00:29.045781;shoes;MAN</t>
  </si>
  <si>
    <t>125398;Aisle;Yes;Clothing;Yes;1350;Zara;https://www.zara.com/us/en/suede-laceless-sneakers-p12221320.html;311307610-400-39;SUEDE LACELESS SNEAKERS;Slip on sneakers. Made of leather with a suede finish. Upper in a combination of pieces. Chunky sole.;69.9;USD;2024-02-19T09:00:30.065752;shoes;MAN</t>
  </si>
  <si>
    <t>123985;End-cap;No;Clothing;No;2240;Zara;https://www.zara.com/us/en/multicolor-sneakers-p12304320.html;311302877-203-39;MULTICOLOR SNEAKERS;Sneakers. Combination of colors and pieces at upper. Lacing with six pairs of eyelets. Chunky rubber sole with irregular design.;69.9;USD;2024-02-19T09:00:30.885861;shoes;MAN</t>
  </si>
  <si>
    <t>186638;End-cap;Yes;Clothing;No;1296;Zara;https://www.zara.com/us/en/retro-running-sneakers-p12350320.html;311302598-500-39;RETRO RUNNING SNEAKERS;Running shoes. Upper in a combination of pieces and materials. Lacing with seven pairs of eyelets. Chunky lug soles. Retro-inspired design.;59.9;USD;2024-02-19T09:00:31.417902;shoes;MAN</t>
  </si>
  <si>
    <t>167281;End-cap;Yes;Clothing;Yes;892;Zara;https://www.zara.com/us/en/suede-high-tops-p12120320.html;311297328-800-39;SUEDE HIGH-TOPS;High top sneakers. Upper in a combination of pieces and materials. Lacing with seven pairs of eyelets. Chunky tonal sole.;59.9;USD;2024-02-19T09:00:32.028826;shoes;MAN</t>
  </si>
  <si>
    <t>118578;End-cap;No;Clothing;Yes;1678;Zara;https://www.zara.com/us/en/suede-strap-sandals-p12707320.html;311302865-804-39;SUEDE STRAP SANDALS;Sandals. Made of leather with a suede finish. Two crossed wide straps at instep. Thick lightweight soles.;49.9;USD;2024-02-19T09:00:32.665359;shoes;MAN</t>
  </si>
  <si>
    <t>174041;End-cap;No;Clothing;No;2016;Zara;https://www.zara.com/us/en/multipiece-sneakers-p12215320.html;311307489-203-39;MULTIPIECE SNEAKERS;Sneakers. Upper in a combination of pieces and colors. Lacing with seven pairs of eyelets. Chunky sole with a combination of colors. Retro-inspired design.;49.9;USD;2024-02-19T09:00:33.381812;shoes;MAN</t>
  </si>
  <si>
    <t>127644;Front of Store;No;Clothing;Yes;1498;Zara;https://www.zara.com/us/en/topstitch-sneakers-p12240320.html;311287075-120-39;TOPSTITCH SNEAKERS;Sneakers. Pieces and topstitching at upper. Lacing with six pairs of eyelets. Contrasting slightly chunky soles.;45.9;USD;2024-02-19T09:00:34.017423;shoes;MAN</t>
  </si>
  <si>
    <t>132007;Aisle;No;Clothing;Yes;2491;Zara;https://www.zara.com/us/en/retro-sneakers-p12280220.html;276378605-515-39;RETRO SNEAKERS;Sneakers. Upper in a combination of pieces and materials. Lacing with seven pairs of eyelets. Quilted back piece. Chunky sole. Retro style.;9.99;USD;2024-02-19T09:00:34.990048;shoes;MAN</t>
  </si>
  <si>
    <t>147998;Aisle;No;Clothing;No;2556;Zara;https://www.zara.com/us/en/retro-high-top-sneakers-p12180220.html;277776476-700-39;RETRO HIGH TOP SNEAKERS;High-top sneakers. Upper in a combination of pieces. Laces with ten pairs of eyelets. Chunky sole.;9.99;USD;2024-02-19T09:00:36.249339;shoes;MAN</t>
  </si>
  <si>
    <t>176666;Aisle;Yes;Clothing;No;2852;Zara;https://www.zara.com/us/en/multi-pieced-retro-sneakers-p12220320.html;313381662-202-39;MULTI-PIECED RETRO SNEAKERS;Sneakers. Upper in a combination of pieces and colors. Lacing with six pairs of eyelets. Textured chunky soles. Retro style.;45.9;USD;2024-02-19T09:00:37.077290;shoes;MAN</t>
  </si>
  <si>
    <t>193686;Aisle;Yes;Clothing;No;1899;Zara;https://www.zara.com/us/en/tassel-leather-loafers-p12609320.html;311292343-700-39;TASSEL LEATHER LOAFERS;Loafers. Made of leather. Smooth upper with ruching at toe. Decorative fringed tassels at instep. Rounded shape. Welt around upper. Chunky lug soles.;99.9;USD;2024-02-19T09:00:37.630307;shoes;MAN</t>
  </si>
  <si>
    <t>163610;Front of Store;Yes;Clothing;No;2466;Zara;https://www.zara.com/us/en/moc-toe-suede-boots-p12015320.html;311309627-805-39;MOC-TOE SUEDE BOOTS;Suede leather boots. Ridged seam detail at upper. Lacing with two pairs of eyelets. Welt around upper. Slightly chunky sole.;89.9;USD;2024-02-19T09:00:38.631330;shoes;MAN</t>
  </si>
  <si>
    <t>170364;Aisle;No;Clothing;No;818;Zara;https://www.zara.com/us/en/strap-sandals-p12765320.html;315851805-800-39;STRAP SANDALS;Sandals with two straps. The thin straps hug the instep. Slightly chunky sole.;45.9;USD;2024-02-19T09:00:39.391693;shoes;MAN</t>
  </si>
  <si>
    <t>167599;Aisle;No;Clothing;No;1500;Zara;https://www.zara.com/us/en/suede-retro-sneakers-p12309320.html;311292644-400-39;SUEDE RETRO SNEAKERS;Sneakers. Made of leather. Combination of finishes and materials at upper. Lacing with seven pairs of eyelets. Chunky sole in a combination of colors. Retro-inspired design.;59.9;USD;2024-02-19T09:00:40.449320;shoes;MAN</t>
  </si>
  <si>
    <t>166421;End-cap;Yes;Clothing;No;2878;Zara;https://www.zara.com/us/en/hiking-boots-p12103320.html;311302552-800-39;HIKING BOOTS;Lace-up boots. Upper in a combination of pieces and finishes. Laces with metal appliquÃ©s and seven pairs of eyelets. Welt detail around upper. Rounded shape. Chunky lug soles.;79.9;USD;2024-02-19T09:00:41.705006;shoes;MAN</t>
  </si>
  <si>
    <t>129247;Front of Store;Yes;Clothing;No;2386;Zara;https://www.zara.com/us/en/suede-sneakers-p12502320.html;311302532-102-39;SUEDE SNEAKERS;Sneakers. Made of leather with a suede finish. Laces with five pairs of eyelets. Chunky soles.;69.9;USD;2024-02-19T09:00:42.376148;shoes;MAN</t>
  </si>
  <si>
    <t>127314;End-cap;Yes;Clothing;Yes;2076;Zara;https://www.zara.com/us/en/faux-shearling-lined-suede-boots-p12050320.html;311287147-723-39;FAUX SHEARLING LINED SUEDE BOOTS;Ankle boots. Made of leather with a suede finish. Faux shearling interior and side detail. Rounded shape. Welt around upper. Back pull tab. Chunky lug soles.;99.9;USD;2024-02-19T09:00:43.146819;shoes;MAN</t>
  </si>
  <si>
    <t>111979;Front of Store;No;Clothing;No;2734;Zara;https://www.zara.com/us/en/chunky-sole-multipiece-sneakers-p12266220.html;311307332-202-39;CHUNKY SNEAKERS;Sneakers. Upper in a combination of pieces and textures. Shoelaces with six pairs of eyelets at different heights. Chunky irregular design soles. Retro-inspired design.;59.9;USD;2024-02-19T09:00:43.580910;shoes;MAN</t>
  </si>
  <si>
    <t>120354;Aisle;Yes;Clothing;No;2836;Zara;https://www.zara.com/us/en/double-strap-suede-sandals-p12716320.html;311282293-131-39;DOUBLE STRAP SUEDE SANDALS;Sandals. Made of leather with a suede finish. Two wide straps at instep with buckles. Insole with anatomical shaped footbed. Welt around upper. Chunky lug soles.;59.9;USD;2024-02-19T09:00:44.494819;shoes;MAN</t>
  </si>
  <si>
    <t>144848;Front of Store;No;Clothing;No;2193;Zara;https://www.zara.com/us/en/chunky-sole-canvas-lace-up-boots-p12005320.html;311287149-800-39;CHUNKY SOLE CANVAS LACE-UP BOOTS;High shaft boots. Lacing with eight pairs of eyelets. Back pull tab for ease. Rounded shape. Chunky lug soles.;89.9;USD;2024-02-19T09:00:45.935135;shoes;MAN</t>
  </si>
  <si>
    <t>111957;Aisle;Yes;Clothing;No;2164;Zara;https://www.zara.com/us/en/suede-penny-loafers-p12644320.html;311307624-500-39;SUEDE PENNY LOAFERS;Loafers. Made of leather with a suede finish. Ornamental saddle detail at instep. Rounded shape. Contrasting colored sole.;89.9;USD;2024-02-19T09:00:46.629270;shoes;MAN</t>
  </si>
  <si>
    <t>160763;Front of Store;Yes;Clothing;Yes;991;Zara;https://www.zara.com/us/en/adherent-stripes-sneakers-p12269320.html;311282212-800-39;ADHERENT STRIPES SNEAKERS;Sneakers. Monochromatic. Upper in a combination of pieces. Closure with three adhesive straps. Slightly chunky sole.;45.9;USD;2024-02-19T09:00:47.161331;shoes;MAN</t>
  </si>
  <si>
    <t>168270;End-cap;Yes;Clothing;Yes;1525;Zara;https://www.zara.com/us/en/multipiece-sneakers-p12318220.html;311292281-203-39;MULTIPIECE SNEAKERS;Running shoes. Upper in a combination of pieces and finishes. Lacing with six pairs of eyelets. Chunky soles with irregular design. Lug soles. Trek style.;69.9;USD;2024-02-19T09:00:47.683414;shoes;MAN</t>
  </si>
  <si>
    <t>195082;Front of Store;No;Clothing;No;923;Zara;https://www.zara.com/us/en/chunky-sole-high-top-sneakers-p12104320.html;311302515-800-39;CHUNKY SOLE HIGH TOP SNEAKERS;High top sneakers. Lacing with nine pairs of eyelets. Contrasting foxing around the upper. Chunky rubberized soles.;69.9;USD;2024-02-19T09:00:48.234772;shoes;MAN</t>
  </si>
  <si>
    <t>110329;Front of Store;No;Clothing;Yes;2397;Zara;https://www.zara.com/us/en/contrast-sole-leather-sneakers-p12510320.html;314937773-800-39;CONTRAST SOLE LEATHER SNEAKERS;Sneakers. Made of leather. Upper in a combination of pieces and finishes. Lacing with six pairs of eyelets. Rounded shape. Chunky sole.;69.9;USD;2024-02-19T09:00:48.858592;shoes;MAN</t>
  </si>
  <si>
    <t>147449;End-cap;No;Clothing;No;1191;Zara;https://www.zara.com/us/en/suede-running-sneakers-p12320320.html;316608794-802-39;SUEDE RUNNING SNEAKERS;Running shoes. Made of suede leather. Upper in a combination of materials and colors. Lacing with six pairs of eyelets. Chunky soles with irregular design.;69.9;USD;2024-02-19T09:00:49.398791;shoes;MAN</t>
  </si>
  <si>
    <t>193332;Aisle;Yes;Clothing;No;1237;Zara;https://www.zara.com/us/en/woven-leather-slides-p12708320.html;319205037-800-39;WOVEN LEATHER SLIDES;Sandals. Made of leather. Three woven wide straps at instep. Chunky sole.;49.9;USD;2024-02-19T09:00:49.884546;shoes;MAN</t>
  </si>
  <si>
    <t>146804;Aisle;Yes;Clothing;No;1504;Zara;https://www.zara.com/us/en/suede-sneakers-p12216320.html;311307495-131-39;SUEDE SNEAKERS;Sneakers. Made of leather with a suede finish. Contrast lacing with seven pairs of eyelets. Welt around upper. Chunky sole.;69.9;USD;2024-02-19T09:00:51.510009;shoes;MAN</t>
  </si>
  <si>
    <t>188909;Aisle;Yes;Clothing;Yes;2863;Zara;https://www.zara.com/us/en/asymmetric-cropped-knit-sweater-p06771149.html;336449731-712-1;ASYMMETRIC CROPPED KNIT SWEATER;Woven V-neckline long sleeve sweater. Asymmetric hem.;39.9;USD;2024-02-19T09:10:31.877971;sweaters;WOMAN</t>
  </si>
  <si>
    <t>165910;End-cap;Yes;Clothing;No;2760;Zara;https://www.zara.com/us/en/knit-sweater-with-pearls-p02142249.html;313890651-712-2;KNIT SWEATER WITH PEARLS;Sweater made with 22% wool and 10% alpaca. Round neck and long sleeves. Faux pearl appliquÃ©.;69.9;USD;2024-02-19T09:10:32.534246;sweaters;WOMAN</t>
  </si>
  <si>
    <t>136738;Front of Store;No;Clothing;Yes;542;Zara;https://www.zara.com/us/en/high-collar-knit-sweater-p01509118.html;287414911-803-2;HIGH COLLAR KNIT SWEATER;Sweater with high collar and long sleeves. Front pocket. Side vents at hem. Rib trim.;7.99;USD;2024-02-19T09:10:33.128884;sweaters;WOMAN</t>
  </si>
  <si>
    <t>144497;End-cap;Yes;Clothing;Yes;1105;Zara;https://www.zara.com/us/en/striped-knit-sweater-p06427115.html;342171615-104-2;STRIPED KNIT SWEATER;Sweater with high collar and long sleeves. Front zip closure.;49.9;USD;2024-02-19T09:10:33.890995;sweaters;WOMAN</t>
  </si>
  <si>
    <t>135036;End-cap;Yes;Clothing;No;1435;Zara;https://www.zara.com/us/en/cable-knit-metallic-sweater-p04369103.html;314152967-485-2;CABLE KNIT METALLIC SWEATER;Round neck long sleeve sweater. Metallic fabric detail and frayed trim.;49.9;USD;2024-02-19T09:10:34.521463;sweaters;WOMAN</t>
  </si>
  <si>
    <t>166331;Aisle;Yes;Clothing;Yes;2877;Zara;https://www.zara.com/us/en/asymmetrical-wool-and-silk-blend-sweater-p09598025.html;324186867-642-2;ASYMMETRICAL WOOL AND SILK BLEND SWEATER;Wool and silk blend sweater. Asymmetric neckline and long sleeves.;59.9;USD;2024-02-19T09:10:35.068338;sweaters;WOMAN</t>
  </si>
  <si>
    <t>139789;Aisle;No;Clothing;Yes;1094;Zara;https://www.zara.com/us/en/wool-and-cashmere-blend-rib-sweater-p02893054.html;316900618-809-2;WOOL AND CASHMERE BLEND RIB SWEATER;Sweater made with 80% wool and 20% cashmere. Round neck and long sleeves.;69.9;USD;2024-02-19T09:10:35.641404;sweaters;WOMAN</t>
  </si>
  <si>
    <t>118569;Aisle;No;Clothing;Yes;994;Zara;https://www.zara.com/us/en/alpaca-and-wool-blend-tie-dye-knit-sweater-p02142220.html;313890645-330-2;ALPACA AND WOOL BLEND TIE DYE KNIT SWEATER;Sweater made with 31% wool and 28% alpaca. Round neck and long sleeves.;49.9;USD;2024-02-19T09:10:36.152051;sweaters;WOMAN</t>
  </si>
  <si>
    <t>155848;End-cap;Yes;Clothing;No;1942;Zara;https://www.zara.com/us/en/mock-neck-wool-and-silk-blend-knit-top-p09598125.html;324597432-800-2;MOCK NECK WOOL AND SILK BLEND KNIT TOP;Wool and silk blend top. High collar and long sleeves.;49.9;USD;2024-02-19T09:10:36.839166;sweaters;WOMAN</t>
  </si>
  <si>
    <t>152563;Front of Store;No;Clothing;Yes;2572;Zara;https://www.zara.com/us/en/cashmere-blend-knit-sweater-p02893169.html;313890686-731-2;CASHMERE BLEND KNIT SWEATER;Sweater made with 95% cashmere. V-neck and long sleeves. Rib trim.;169.0;USD;2024-02-19T09:10:37.484871;sweaters;WOMAN</t>
  </si>
  <si>
    <t>115153;Aisle;No;Clothing;No;1736;Zara;https://www.zara.com/us/en/alpaca-blend-open-knit-sweater-p05755132.html;313890650-712-2;ALPACA BLEND OPEN KNIT SWEATER;Sweater made with 63% alpaca. Round neck and long sleeves.;79.9;USD;2024-02-19T09:10:38.362632;sweaters;WOMAN</t>
  </si>
  <si>
    <t>125938;Aisle;Yes;Clothing;Yes;1204;Zara;https://www.zara.com/us/en/oversized-knit-sweater-p09598288.html;313890680-450-2;OVERSIZED KNIT SWEATER;Sweater made with 20% wool and 17% alpaca. Crew neck and long sleeves. Tonal rib trim.;49.9;USD;2024-02-19T09:10:38.884024;sweaters;WOMAN</t>
  </si>
  <si>
    <t>122809;End-cap;No;Clothing;Yes;1592;Zara;https://www.zara.com/us/en/wool-blend-knit-sweater-p02893159.html;344575855-982-2;WOOL BLEND KNIT SWEATER;Sweater made with 31% wool. Round neck and long sleeves. Rib trim.;49.9;USD;2024-02-19T09:10:39.415761;sweaters;WOMAN</t>
  </si>
  <si>
    <t>181502;Front of Store;Yes;Clothing;No;2591;Zara;https://www.zara.com/us/en/soft-jewel-sweater-p02298153.html;323175653-803-2;SOFT JEWEL SWEATER;Sweater made of soft touch fabric. Round neckline with jewel appliquÃ©s and long sleeves.;39.9;USD;2024-02-19T09:10:39.911179;sweaters;WOMAN</t>
  </si>
  <si>
    <t>182779;End-cap;Yes;Clothing;Yes;2097;Zara;https://www.zara.com/us/en/faux-fur-jewel-sweater-p07901339.html;324814227-400-2;FAUX FUR JEWEL SWEATER;Round neck short sleeve sweater. Soft feel faux fur fabric. Jewel appliquÃ©s.;35.9;USD;2024-02-19T09:10:40.681401;sweaters;WOMAN</t>
  </si>
  <si>
    <t>155674;Front of Store;No;Clothing;No;897;Zara;https://www.zara.com/us/en/metal-bead-knit-sweater-p03920018.html;323218942-800-2;METAL BEAD KNIT SWEATER;Round neck long sleeve sweater. Side slit at hem with metal bead appliquÃ©s.;49.9;USD;2024-02-19T09:10:41.519426;sweaters;WOMAN</t>
  </si>
  <si>
    <t>182866;Aisle;No;Clothing;Yes;1552;Zara;https://www.zara.com/us/en/knit-sweater-with-buttons-p08851131.html;313890656-800-2;KNIT SWEATER WITH BUTTONS;Basic sweater with round neck and long sleeves. Side button details at shoulders.;39.9;USD;2024-02-19T09:10:42.016223;sweaters;WOMAN</t>
  </si>
  <si>
    <t>148230;Front of Store;Yes;Clothing;No;2494;Zara;https://www.zara.com/us/en/jewel-knit-sweater-p05755005.html;321480271-802-2;JEWEL KNIT SWEATER;Round neck sweater with jewel appliquÃ©s and long sleeves. Back opening with button closure.;59.9;USD;2024-02-19T09:10:42.593244;sweaters;WOMAN</t>
  </si>
  <si>
    <t>126979;Front of Store;No;Clothing;No;2141;Zara;https://www.zara.com/us/en/knit-sweater-with-piping-p05536151.html;311297787-806-1;KNIT SWEATER WITH PIPING;Round neck long sleeve sweater. Contrasting piping detail. Rib trim.;49.9;USD;2024-02-19T09:10:43.379668;sweaters;WOMAN</t>
  </si>
  <si>
    <t>135521;End-cap;No;Clothing;Yes;2835;Zara;https://www.zara.com/us/en/fine-knit-crop-sweater-p09598029.html;322677494-446-1;FINE KNIT CROP SWEATER;Cropped fine knit sweater with round neck and long sleeves.;39.9;USD;2024-02-19T09:10:43.883037;sweaters;WOMAN</t>
  </si>
  <si>
    <t>185809;End-cap;No;Clothing;No;622;Zara;https://www.zara.com/us/en/knit-sweater-with-rips-p00021110.html;313890688-330-1;KNIT SWEATER WITH RIPS;Round neck long sleeve sweater. Openwork detail with rips.;49.9;USD;2024-02-19T09:10:44.463883;sweaters;WOMAN</t>
  </si>
  <si>
    <t>171520;End-cap;Yes;Clothing;Yes;2901;Zara;https://www.zara.com/us/en/gathered-waist-knit-sweater-p05536012.html;322451460-800-1;GATHERED WAIST KNIT SWEATER;Round neck long sleeve sweater. Fitted waist with side ruching.;47.9;USD;2024-02-19T09:10:45.009106;sweaters;WOMAN</t>
  </si>
  <si>
    <t>122926;End-cap;No;Clothing;No;867;Zara;https://www.zara.com/us/en/knit-v-neck-sweater-p06771003.html;319465261-800-2;KNIT V-NECK SWEATER;V-neck sweater with long sleeves. Rib trim.;45.9;USD;2024-02-19T09:10:45.631804;sweaters;WOMAN</t>
  </si>
  <si>
    <t>150953;Front of Store;Yes;Clothing;Yes;2434;Zara;https://www.zara.com/us/en/basic-foil-knit-sweater-p00506101.html;317331009-312-2;BASIC FOIL KNIT SWEATER;Round neck long sleeve sweater. Rib trim.;35.9;USD;2024-02-19T09:10:46.121269;sweaters;WOMAN</t>
  </si>
  <si>
    <t>115873;End-cap;Yes;Clothing;Yes;2606;Zara;https://www.zara.com/us/en/contrast-topstitching-crop-knit-sweater-p09598003.html;311297400-803-1;CONTRAST TOPSTITCHING CROP KNIT SWEATER;V-neck cropped sweater with long sleeves. Front patch pockets. Contrast topstitching.;59.9;USD;2024-02-19T09:10:46.622912;sweaters;WOMAN</t>
  </si>
  <si>
    <t>115581;Aisle;No;Clothing;Yes;2728;Zara;https://www.zara.com/us/en/striped-crop-knit-sweater-p06771158.html;336449779-104-1;STRIPED CROP KNIT SWEATER;Long sleeve high collar cropped sweater. Frayed hem.;47.9;USD;2024-02-19T09:10:47.341785;sweaters;WOMAN</t>
  </si>
  <si>
    <t>183634;Front of Store;Yes;Clothing;Yes;2778;Zara;https://www.zara.com/us/en/basic-knit-sweater-p01509115.html;324593343-043-2;BASIC KNIT SWEATER;Long sleeve round neck sweater. Side vents at hem. Rib trim.;27.9;USD;2024-02-19T09:10:48.087091;sweaters;WOMAN</t>
  </si>
  <si>
    <t>122484;Aisle;Yes;Clothing;Yes;558;Zara;https://www.zara.com/us/en/v-neck-knit-sweater-p03519001.html;319473750-809-1;V-NECK KNIT SWEATER;V-neck sweater with long sleeves. Side vents at hem.;47.9;USD;2024-02-19T09:10:48.719383;sweaters;WOMAN</t>
  </si>
  <si>
    <t>183574;Aisle;Yes;Clothing;Yes;1752;Zara;https://www.zara.com/us/en/foil-knit-crop-sweater-p06771001.html;331789902-808-1;FOIL KNIT CROP SWEATER;Ribbed sweater with round neck and long sleeves. Ripped hem.;47.9;USD;2024-02-19T09:10:49.285266;sweaters;WOMAN</t>
  </si>
  <si>
    <t>185307;Front of Store;No;Clothing;Yes;2743;Zara;https://www.zara.com/us/en/basic-100-wool-sweater-p02893106.html;300250126-401-2;BASIC 100% WOOL SWEATER;Sweater made of 100% wool. Round neck and long sleeves. Ribbed trim.;7.99;USD;2024-02-19T09:10:49.913569;sweaters;WOMAN</t>
  </si>
  <si>
    <t>118719;End-cap;No;Clothing;Yes;1669;Zara;https://www.zara.com/us/en/colorblock-knit-crop-sweater-p05536008.html;320052978-401-2;COLORBLOCK KNIT CROP SWEATER;Short sweater with round neck and long sleeves.;45.9;USD;2024-02-19T09:10:50.612150;sweaters;WOMAN</t>
  </si>
  <si>
    <t>134788;Front of Store;No;Clothing;No;2179;Zara;https://www.zara.com/us/en/fine-knit-sweater-p09598045.html;324722597-400-2;FINE KNIT SWEATER;V-neck sweater with long sleeves.;45.9;USD;2024-02-19T09:10:51.189028;sweaters;WOMAN</t>
  </si>
  <si>
    <t>140142;Front of Store;Yes;Clothing;No;606;Zara;https://www.zara.com/us/en/knit-open-back-pearly-sweater-p04331152.html;328207551-500-2;KNIT OPEN BACK PEARLY SWEATER;High collar sweater with long sleeves. Open back detail and pearl appliquÃ©s. Back button closure.;49.9;USD;2024-02-19T09:10:51.785857;sweaters;WOMAN</t>
  </si>
  <si>
    <t>153997;End-cap;No;Clothing;Yes;1608;Zara;https://www.zara.com/us/en/knit-pearl-sweater-p04331165.html;318131967-800-2;KNIT PEARL SWEATER;Round neck long sleeve sweater. Tonal pearl appliquÃ©s and open back with tie.;45.9;USD;2024-02-19T09:10:52.485772;sweaters;WOMAN</t>
  </si>
  <si>
    <t>123230;Aisle;No;Clothing;Yes;880;Zara;https://www.zara.com/us/en/striped-textured-overshirt-p04179056.html;324027512-064-2;STRIPED TEXTURED OVERSHIRT;Relaxed fit overshirt. Lapel collar and long sleeves with buttoned cuffs. Patch pockets at hip. Front button closure.;69.9;USD;2024-02-19T08:51:28.667099;jackets;MAN</t>
  </si>
  <si>
    <t>154676;Aisle;No;Clothing;No;943;Zara;https://www.zara.com/us/en/fleece-overshirt-p01248320.html;311292623-712-97;FLEECE OVERSHIRT;Regular fit overshirt. Lapel collar and long sleeves with buttoned cuffs. Chest patch pockets. Front button closure.;69.9;USD;2024-02-19T08:51:29.090402;jackets;MAN</t>
  </si>
  <si>
    <t>152985;Aisle;Yes;Clothing;Yes;1049;Zara;https://www.zara.com/us/en/plaid-overshirt-p04054659.html;319162032-064-2;PLAID OVERSHIRT;Relaxed fit overshirt. Lapel collar and long sleeves with buttoned cuffs. Chest patch pockets. Front button closure.;89.9;USD;2024-02-19T08:51:29.625821;jackets;MAN</t>
  </si>
  <si>
    <t>175584;Front of Store;No;Clothing;No;2084;Zara;https://www.zara.com/us/en/baggy-fit-jeans-limited-edition-p03991480.html;324908098-800-38;BAGGY FIT JEANS LIMITED EDITION;Baggy jeans. Five pockets. Washed effect. Front zip and button closure.;69.9;USD;2024-02-19T08:54:37.718200;jeans;MAN</t>
  </si>
  <si>
    <t>147491;End-cap;No;Clothing;No;1563;Zara;https://www.zara.com/us/en/baggy-belted-jeans-p04365401.html;326540983-802-36;BAGGY BELTED JEANS;Baggy jeans. Self belt at waist. Front pockets and back patch pockets. Washed effect. Front button closure.;59.9;USD;2024-02-19T08:54:38.277368;jeans;MAN</t>
  </si>
  <si>
    <t>198283;End-cap;Yes;Clothing;Yes;1558;Zara;https://www.zara.com/us/en/baggy-fit-jeans-p08062482.html;315836999-406-34;BAGGY FIT JEANS;Baggy fit jeans. Five pockets. Washed effect. Front zip and button closure.;69.9;USD;2024-02-19T08:54:39.017964;jeans;MAN</t>
  </si>
  <si>
    <t>141547;End-cap;No;Clothing;No;1426;Zara;https://www.zara.com/us/en/baggy-fit-jeans-p06688486.html;315738965-802-34;BAGGY FIT JEANS;Baggy fit jeans. Five pockets. Washed effect. Front zip and button closure.;69.9;USD;2024-02-19T08:54:39.496146;jeans;MAN</t>
  </si>
  <si>
    <t>156342;Front of Store;Yes;Clothing;Yes;1466;Zara;https://www.zara.com/us/en/flared-fit-cargo-jeans-p06688411.html;311287318-400-38;FLARED FIT CARGO JEANS;Flared jeans. Patch pockets with flaps at hip. Patch pocket appliquÃ©s at legs. Washed effect. Adjustable hem with zippers. Front zipper and crossover button closure.;109.0;USD;2024-02-19T08:54:39.950692;jeans;MAN</t>
  </si>
  <si>
    <t>186083;End-cap;No;Clothing;Yes;624;Zara;https://www.zara.com/us/en/pleated-wide-fit-jeans-p05862417.html;312393140-406-2;PLEATED WIDE FIT JEANS;Wide fit jeans. Adjustable interior elastic waistband with front pleats. Front pockets and back patch pockets. Washed effect. Front zip and button closure.;49.9;USD;2024-02-19T08:54:40.548942;jeans;MAN</t>
  </si>
  <si>
    <t>171776;Aisle;Yes;Clothing;No;1685;Zara;https://www.zara.com/us/en/denim-shirt-p06085371.html;275600408-400-2;DENIM SHIRT;Relaxed fit shirt made of denim fabric. Lapel collar and short sleeves. Chest patch pocket. Washed effect. Front button closure.;12.99;USD;2024-02-19T08:54:41.113222;jeans;MAN</t>
  </si>
  <si>
    <t>134429;Aisle;No;Clothing;No;2914;Zara;https://www.zara.com/us/en/ripped-straight-fit-jeans-p03991404.html;311303003-407-38;RIPPED STRAIGHT FIT JEANS;Straight fit jeans. Five pockets. Washed effect with rips at legs. Front button closure.;69.9;USD;2024-02-19T08:54:41.651379;jeans;MAN</t>
  </si>
  <si>
    <t>172816;Aisle;No;Clothing;Yes;1524;Zara;https://www.zara.com/us/en/textured-sweater-p02893403.html;311307250-710-3;TEXTURED SWEATER;Sweater made of 30% wool thread. Round neck and long sleeves. Rib trim.;69.9;USD;2024-02-19T08:54:44.291927;sweaters;MAN</t>
  </si>
  <si>
    <t>136272;End-cap;No;Clothing;Yes;2887;Zara;https://www.zara.com/us/en/purl-knit-sweater-p03332300.html;267195405-500-3;PURL KNIT SWEATER;High collar sweater with front zipper. Long sleeves. Rib trim.;12.99;USD;2024-02-19T08:54:45.320958;sweaters;MAN</t>
  </si>
  <si>
    <t>193227;End-cap;Yes;Clothing;Yes;1778;Zara;https://www.zara.com/us/en/braided-color-block-sweater-p03284412.html;317894313-707-3;BRAIDED COLOR BLOCK SWEATER;Round neck long sleeve full cut sweater. Rib trim.;69.9;USD;2024-02-19T08:54:45.927706;sweaters;MAN</t>
  </si>
  <si>
    <t>165786;End-cap;No;Clothing;Yes;1278;Zara;https://www.zara.com/us/en/contrast-interior-sweater-p04696400.html;315075917-803-2;CONTRAST INTERIOR SWEATER;Cotton blend sweater. Round neck and long sleeves. Contrast interior. Rib trim.;59.9;USD;2024-02-19T08:54:46.542710;sweaters;MAN</t>
  </si>
  <si>
    <t>174708;Front of Store;No;Clothing;Yes;529;Zara;https://www.zara.com/us/en/abstract-jacquard-sweater-p03284407.html;317889153-700-3;ABSTRACT JACQUARD SWEATER;Full cut cotton knit sweater. Round neck and long sleeves. Rib trim.;59.9;USD;2024-02-19T08:54:47.065078;sweaters;MAN</t>
  </si>
  <si>
    <t>142257;Aisle;Yes;Clothing;Yes;1180;Zara;https://www.zara.com/us/en/basic-slim-fit-t-shirt-p05584361.html;315241755-800-2;BASIC SLIM FIT T-SHIRT;Slim fit shirt. Round neck and short sleeves.;19.9;USD;2024-02-19T08:56:26.127459;t-shirts;MAN</t>
  </si>
  <si>
    <t>126146;Aisle;No;Clothing;No;2759;Zara;https://www.zara.com/us/en/cropped-washed-t-shirt-p03665403.html;320326523-707-2;CROPPED WASHED T-SHIRT;Cropped fit T-shirt with round neck and short sleeves. Contrasting front and back prints. Washed effect.;39.9;USD;2024-02-19T08:56:26.653517;t-shirts;MAN</t>
  </si>
  <si>
    <t>129134;Aisle;No;Clothing;Yes;1831;Zara;https://www.zara.com/us/en/basic-heavyweight-t-shirt-p01887450.html;316715458-250-2;BASIC HEAVYWEIGHT T-SHIRT;Roomy T-shirt made of dense cotton. Round neck and short sleeves.;29.9;USD;2024-02-19T08:56:27.459508;t-shirts;MAN</t>
  </si>
  <si>
    <t>129898;End-cap;No;Clothing;No;1866;Zara;https://www.zara.com/us/en/heart-print-t-shirt-p06224419.html;322677489-800-2;HEART PRINT T-SHIRT;Boxy fit T-shirt with round neck and short sleeves. Contrasting prints at shoulder and back.;39.9;USD;2024-02-19T08:56:27.954174;t-shirts;MAN</t>
  </si>
  <si>
    <t>189692;End-cap;Yes;Clothing;No;1553;Zara;https://www.zara.com/us/en/text-t-shirt-p00962458.html;330077856-251-2;TEXT T-SHIRT;Boxy fit T-shirt. Round neck and short sleeves. Velvet effect print with contrast text.;39.9;USD;2024-02-19T08:56:28.447616;t-shirts;MAN</t>
  </si>
  <si>
    <t>154846;End-cap;Yes;Clothing;No;917;Zara;https://www.zara.com/us/en/printed-cropped-fit-shirt-limited-edition-p06224490.html;328232452-898-2;PRINTED CROPPED FIT SHIRT LIMITED EDITION;Cropped shirt. Round neckline. Contrasting front print. Washed effect. Irregular trim.;39.9;USD;2024-02-19T08:56:28.979960;t-shirts;MAN</t>
  </si>
  <si>
    <t>122307;End-cap;No;Clothing;No;702;Zara;https://www.zara.com/us/en/ribbed-knit-t-shirt-p03332431.html;317230892-251-3;RIBBED KNIT T-SHIRT;Cotton knit tank top. Round neck with front button closure. Rib trim.;49.9;USD;2024-02-19T08:56:29.503270;t-shirts;MAN</t>
  </si>
  <si>
    <t>182099;Aisle;Yes;Clothing;No;1978;Zara;https://www.zara.com/us/en/oversize-fit-t-shirt-p04092405.html;330478123-712-2;OVERSIZE FIT T-SHIRT;Oversized T-shirt. Round neck and short sleeves.;39.9;USD;2024-02-19T08:56:30.052250;t-shirts;MAN</t>
  </si>
  <si>
    <t>159816;Front of Store;No;Clothing;Yes;1961;Zara;https://www.zara.com/us/en/basic-medium-weight-t-shirt-p01887470.html;318255748-250-2;BASIC MEDIUM WEIGHT T-SHIRT;Regular fit T-shirt. Round neck and short sleeves.;27.9;USD;2024-02-19T08:56:30.594950;t-shirts;MAN</t>
  </si>
  <si>
    <t>165326;Aisle;No;Clothing;No;1188;Zara;https://www.zara.com/us/en/structured-text-t-shirt-p00761434.html;319334069-712-2;STRUCTURED TEXT T-SHIRT;Full cut T-shirt made of mesh textured fabric. Contrast rib V-neckline and short sleeves. Front contrast printed text.;45.9;USD;2024-02-19T08:56:31.128680;t-shirts;MAN</t>
  </si>
  <si>
    <t>185154;Aisle;Yes;Clothing;No;996;Zara;https://www.zara.com/us/en/abstract-print-t-shirt-p06224403.html;311307261-712-2;ABSTRACT PRINT T-SHIRT;Full cut T-shirt with crew neck and short sleeves. Contrasting front and back prints. Washed effect.;39.9;USD;2024-02-19T08:56:31.723585;t-shirts;MAN</t>
  </si>
  <si>
    <t>141330;Aisle;No;Clothing;Yes;1915;Zara;https://www.zara.com/us/en/raised-text-t-shirt-limited-edition-p00977490.html;323216369-922-2;RAISED TEXT T-SHIRT LIMITED EDITION;Full cut T-shirt with round neck and short sleeves. Front tonal raised text. Washed effect.;39.9;USD;2024-02-19T08:56:32.570492;t-shirts;MAN</t>
  </si>
  <si>
    <t>158958;End-cap;No;Clothing;No;903;Zara;https://www.zara.com/us/en/ribbed-knit-t-shirt-p04805409.html;320111404-428-2;RIBBED KNIT T-SHIRT;Cropped fit knit shirt. Round neck and long sleeves. Washed effect.;45.9;USD;2024-02-19T08:56:33.167445;t-shirts;MAN</t>
  </si>
  <si>
    <t>155010;Aisle;Yes;Clothing;Yes;729;Zara;https://www.zara.com/us/en/semi-sheer-knit-shirt-limited-edition-p04805424.html;328232445-800-2;SEMI-SHEER KNIT SHIRT LIMITED EDITION;Slim fit shirt made of wrinkle effect fabric. Round neck and long sleeves.;45.9;USD;2024-02-19T08:56:33.715892;t-shirts;MAN</t>
  </si>
  <si>
    <t>135857;Aisle;No;Clothing;Yes;2045;Zara;https://www.zara.com/us/en/viscose-blend-knit-t-shirt-p00693401.html;311297550-251-2;VISCOSE BLEND KNIT T-SHIRT;Knit shirt in viscose blend fabric. Mock neck and short sleeves. Rib trim.;45.9;USD;2024-02-19T08:56:34.269203;t-shirts;MAN</t>
  </si>
  <si>
    <t>147690;Aisle;Yes;Clothing;No;881;Zara;https://www.zara.com/us/en/striped-jacquard-t-shirt-p05372400.html;322909502-819-2;STRIPED JACQUARD T-SHIRT;Relaxed fit T-shirt with round neck and short sleeves.;39.9;USD;2024-02-19T08:56:34.766636;t-shirts;MAN</t>
  </si>
  <si>
    <t>130321;End-cap;Yes;Clothing;No;2093;Zara;https://www.zara.com/us/en/abstract-print-knit-t-shirt-p04805401.html;320071210-802-2;ABSTRACT PRINT KNIT T-SHIRT;Cotton knit T-shirt. Round neck and short sleeves.;39.9;USD;2024-02-19T08:56:35.255056;t-shirts;MAN</t>
  </si>
  <si>
    <t>196752;End-cap;No;Clothing;No;2227;Zara;https://www.zara.com/us/en/structured-text-t-shirt-p00761435.html;319334070-401-2;STRUCTURED TEXT T-SHIRT;Full cut T-shirt made of mesh textured fabric. Contrast rib V-neckline and short sleeves. Front contrast printed text.;45.9;USD;2024-02-19T08:56:35.985294;t-shirts;MAN</t>
  </si>
  <si>
    <t>181011;Aisle;Yes;Clothing;Yes;994;Zara;https://www.zara.com/us/en/alpaca-blend-open-knit-sweater-p05755132.html;322612356-505-2;HERRINGBONE TEXTURED JACKET;RETRO SNEAKERS;89.9;USD;2024-02-19T09:10:31.877971;shoes;MAN</t>
  </si>
  <si>
    <t>139967;End-cap;No;Clothing;No;2634;Zara;https://www.zara.com/us/en/oversized-knit-sweater-p09598288.html;311282631-712-2;OVERSIZED CROPPED JACKET LIMITED EDITION;V-neck sweater with long sleeves. Rib trim.;69.9;USD;2024-02-19T09:10:32.534246;t-shirts;MAN</t>
  </si>
  <si>
    <t>162699;End-cap;No;Clothing;Yes;2732;Zara;https://www.zara.com/us/en/wool-blend-knit-sweater-p02893159.html;329282612-401-2;LEATHER BIKER JACKET;Round neck long sleeve sweater. Metallic fabric detail and frayed trim.;89.9;USD;2024-02-19T09:10:33.128884;sweaters;MAN</t>
  </si>
  <si>
    <t>119044;Aisle;No;Clothing;Yes;1140;Zara;https://www.zara.com/us/en/soft-jewel-sweater-p02298153.html;320026789-714-2;CROPPED LEATHER JACKET;Relaxed fit overshirt made of 25% wool fabric. Lapel collar and long sleeves with buttoned cuffs. Patch pocket at chest and side pockets at hip. Front button closure.;169.0;USD;2024-02-19T09:10:33.890995;sweaters;MAN</t>
  </si>
  <si>
    <t>121348;End-cap;No;Clothing;Yes;1008;Zara;https://www.zara.com/us/en/faux-fur-jewel-sweater-p07901339.html;323216360-406-2;FAUX LEATHER BOXY FIT JACKET;Relaxed fit overshirt made of stretch fabric. Lapel collar and long sleeves with buttoned cuffs. Chest patch pocket. Front button closure.;169.0;USD;2024-02-19T09:10:34.521463;t-shirts;MAN</t>
  </si>
  <si>
    <t>163982;Front of Store;No;Clothing;No;2685;Zara;https://www.zara.com/us/en/metal-bead-knit-sweater-p03920018.html;318209963-800-2;FAUX LEATHER JACKET;Cropped overshirt. Lapel collar and long sleeves with buttoned cuffs. Chest patch pocket. Irregular trim. Front button closure.;69.9;USD;2024-02-19T09:10:35.068338;t-shirts;MAN</t>
  </si>
  <si>
    <t>185774;End-cap;Yes;Clothing;Yes;1145;Zara;https://www.zara.com/us/en/knit-sweater-with-buttons-p08851131.html;316727555-700-2;FAUX SUEDE BOMBER JACKET;Overshirt with lapel collar and long sleeves with buttoned cuffs. Chest patch pocket. Front button closure.;19.99;USD;2024-02-19T09:10:35.641404;t-shirts;MAN</t>
  </si>
  <si>
    <t>144651;Aisle;Yes;Clothing;No;1791;Zara;https://www.zara.com/us/en/jewel-knit-sweater-p05755005.html;312571093-710-2;DENIM BOMBER JACKET;Relaxed fit overshirt made of wool blend fabric. Lapel collar and long sleeves with buttoned cuffs. Welt pockets at hip. Front zip closure.;139.0;USD;2024-02-19T09:10:36.152051;t-shirts;MAN</t>
  </si>
  <si>
    <t>195103;Aisle;Yes;Clothing;No;2849;Zara;https://www.zara.com/us/en/knit-sweater-with-piping-p05536151.html;330290387-401-2;BOUCLÃ‰ TEXTURED JACKET;Varsity jacket with elastic collar and long sleeves. Welt pockets at hip and interior pocket. Embroidered appliquÃ© and contrast front and back patches. Rib trim. Front snap button closure.;109.0;USD;2024-02-19T09:10:36.839166;t-shirts;MAN</t>
  </si>
  <si>
    <t>123047;Aisle;No;Clothing;Yes;2985;Zara;https://www.zara.com/us/en/fine-knit-crop-sweater-p09598029.html;313027279-800-2;SUIT JACKET IN 100% LINEN;Quilted jacket made of technical fabric. Lapel collar and long sleeves. Welt pockets at hip. Rib trim. Front zip closure.;109.0;USD;2024-02-19T09:10:37.484871;t-shirts;MAN</t>
  </si>
  <si>
    <t>123077;Front of Store;No;Clothing;No;1603;Zara;https://www.zara.com/us/en/knit-sweater-with-rips-p00021110.html;320671529-802-2;JACQUARD DENIM JACKET;Jacket made of technical fabric with padded interior. Lapel collar and long sleeves with elastic cuffs. Welt pockets at hip and interior pocket. Adjustable drawstring hem. Front snap button closure.;109.0;USD;2024-02-19T09:10:38.362632;t-shirts;MAN</t>
  </si>
  <si>
    <t>171860;Aisle;Yes;Clothing;No;707;Zara;https://www.zara.com/us/en/gathered-waist-knit-sweater-p05536012.html;323646471-802-2;PADDED DENIM JACKET;Slightly cropped denim jacket. Lapel collar and long sleeves with buttoned cuffs. Flap patch pocket at chest and side hip. Washed effect. Front button closure.;109.0;USD;2024-02-19T09:10:38.884024;t-shirts;MAN</t>
  </si>
  <si>
    <t>149487;Aisle;No;Clothing;Yes;1258;Zara;https://www.zara.com/us/en/knit-v-neck-sweater-p06771003.html;312978838-611-2;LEATHER JACKET;Boxy fit jacket. Lapel collar and long sleeves with buttoned cuffs. Patch pockets at hip. Washed effect.Asymmetric hem with side vents. Front button closure.;99.9;USD;2024-02-19T09:10:39.415761;t-shirts;MAN</t>
  </si>
  <si>
    <t>168516;Front of Store;Yes;Clothing;No;2168;Zara;https://www.zara.com/us/en/basic-foil-knit-sweater-p00506101.html;336446858-822-2;LIGHTWEIGHT BOMBER JACKET;Jacket made of faux shearling fabric. V-neckline and long sleeves with elastic cuffs. Lined interior with structured mesh fabric. Welt pockets at hip. Adjustable hem with side elastics. Front snap button closure.;89.9;USD;2024-02-19T09:10:39.911179;t-shirts;MAN</t>
  </si>
  <si>
    <t>177771;End-cap;Yes;Clothing;Yes;1764;Zara;https://www.zara.com/us/en/contrast-topstitching-crop-knit-sweater-p09598003.html;281883711-071-2;SUIT JACKET;Jacket with lightly padded interior. Corduroy lapel collar. Long sleeves. Patch pockets at hip. Front button closure.;69.9;USD;2024-02-19T09:10:40.681401;t-shirts;MAN</t>
  </si>
  <si>
    <t>172015;End-cap;Yes;Clothing;Yes;2622;Zara;https://www.zara.com/us/en/striped-crop-knit-sweater-p06771158.html;313008692-514-2;FAUX LEATHER BOMBER JACKET;Cropped overshirt. Lapel collar and long sleeves with buttoned cuffs. Front patch pockets. Irregular finished seams. Front button closure.;139.0;USD;2024-02-19T09:10:41.519426;t-shirts;MAN</t>
  </si>
  <si>
    <t>118985;Aisle;No;Clothing;Yes;694;Zara;https://www.zara.com/us/en/basic-knit-sweater-p01509115.html;281593208-015-2;PATCH BOMBER JACKET;Vest made of viscose and wool blend fabric. V-neckline. Patch pockets at hip. Front zip closure.;139.0;USD;2024-02-19T09:10:42.016223;t-shirts;MAN</t>
  </si>
  <si>
    <t>112194;Aisle;Yes;Clothing;Yes;2187;Zara;https://www.zara.com/us/en/v-neck-knit-sweater-p03519001.html;314937772-710-2;STRETCH POCKET OVERSHIRT;Varsity jacket made of faux suede fabric. Double welt pockets at hip and interior pocket. Front and back contrasting patch appliquÃ©s and embroidery. Rib trim. Front snap button closure.;109.0;USD;2024-02-19T09:10:42.593244;jackets;MAN</t>
  </si>
  <si>
    <t>113435;Aisle;No;Clothing;Yes;2973;Zara;https://www.zara.com/us/en/foil-knit-crop-sweater-p06771001.html;320278659-251-2;RIB COLLAR JACKET;Overshirt made of stretchy fabric. Lapel collar and long sleeves with snap buttoned cuffs. Chest patch pockets. Front snap button closure.;129.0;USD;2024-02-19T09:10:43.379668;jackets;MAN</t>
  </si>
  <si>
    <t>159182;Front of Store;Yes;Clothing;No;1014;Zara;https://www.zara.com/us/en/basic-100-wool-sweater-p02893106.html;321993245-500-2;FAUX LEATHER OVERSIZED JACKET LIMITED EDITION;Jacket made of technical fabric with padded interior. Tonal elastic rib high collar. Long sleeves. Welt pockets at hip and interior pocket. Interior elastic finish. Front zip closure.;169.0;USD;2024-02-19T09:10:43.883037;jackets;MAN</t>
  </si>
  <si>
    <t>199233;Aisle;Yes;Clothing;No;2222;Zara;https://www.zara.com/us/en/colorblock-knit-crop-sweater-p05536008.html;330590505-500-2;CONTRASTING PATCHES BOMBER JACKET;Oversized jacket. Notched lapel collar and long sleeves. Flap pockets at hip and interior pocket. Front button closure.;159.0;USD;2024-02-19T09:10:44.463883;jackets;MAN</t>
  </si>
  <si>
    <t>137044;Aisle;No;Clothing;Yes;2534;Zara;https://www.zara.com/us/en/hooded-technical-jacket-p01538301.html;320680326-107-39;PATCH BOMBER JACKET;Varsity jacket with elastic collar and long sleeves. Welt pockets at hip and interior pocket. Embroidered appliquÃ© and contrast front and back patches. Rib trim. Front snap button closure.;12.99;USD;2024-02-19T09:10:45.009106;jackets;MAN</t>
  </si>
  <si>
    <t>154736;Front of Store;Yes;Clothing;Yes;1466;Zara;https://www.zara.com/us/en/houndstooth-suit-jacket-p04285498.html;311292244-800-39;CROPPED BOMBER JACKET LIMITED EDITION;Varsity jacket with padded interior. Rib elastic collar and long sleeves in contrast faux leather. Double welt pockets at hip and interior pocket. Contrasting patch appliquÃ©s at front and back. Rib trim. Front snap button closure.;19.9;USD;2024-02-19T09:10:45.631804;jackets;MAN</t>
  </si>
  <si>
    <t>141434;Front of Store;No;Clothing;Yes;2870;Zara;https://www.zara.com/us/en/bomber-jacket-p05344402.html;311307610-400-39;FAUX LEATHER PUFFER JACKET;Jacket with lightly padded interior. Rib collar and long sleeves. Flap pockets at waist. Rib trim. Front asymmetric zip closure.;39.9;USD;2024-02-19T09:10:31.877972;jackets;MAN</t>
  </si>
  <si>
    <t>Product ID</t>
  </si>
  <si>
    <t>Product Position</t>
  </si>
  <si>
    <t>Promotion</t>
  </si>
  <si>
    <t>Product Category</t>
  </si>
  <si>
    <t>Seasonal</t>
  </si>
  <si>
    <t>Sales Volume</t>
  </si>
  <si>
    <t>url</t>
  </si>
  <si>
    <t>sku(stock keeping unit)</t>
  </si>
  <si>
    <t>name</t>
  </si>
  <si>
    <t>description</t>
  </si>
  <si>
    <t>price(USD)</t>
  </si>
  <si>
    <t>currency</t>
  </si>
  <si>
    <t>Sales</t>
  </si>
  <si>
    <t>section</t>
  </si>
  <si>
    <t>Product URL</t>
  </si>
  <si>
    <t>Price Range Category</t>
  </si>
  <si>
    <t>Aisle</t>
  </si>
  <si>
    <t>No</t>
  </si>
  <si>
    <t>Clothing</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</si>
  <si>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</si>
  <si>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</si>
  <si>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</si>
  <si>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</si>
  <si>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</si>
  <si>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jackets</t>
  </si>
  <si>
    <t>MAN</t>
  </si>
  <si>
    <t>Max</t>
  </si>
  <si>
    <t>Min</t>
  </si>
  <si>
    <t>max-min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</si>
  <si>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</si>
  <si>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</si>
  <si>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</si>
  <si>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</si>
  <si>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</si>
  <si>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</si>
  <si>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</si>
  <si>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</si>
  <si>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</si>
  <si>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</si>
  <si>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Budget</t>
  </si>
  <si>
    <t>Mid_range</t>
  </si>
  <si>
    <t>Premimum</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</si>
  <si>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</si>
  <si>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</si>
  <si>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</si>
  <si>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</si>
  <si>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</si>
  <si>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312368260-800-2</t>
  </si>
  <si>
    <t>DOUBLE FACED JACKET</t>
  </si>
  <si>
    <t>Jacket made of faux leather faux shearling with fleece interior. Tabbed lapel collar. Long sleeves. Zip pockets at hip. Front zip closure.</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</si>
  <si>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</si>
  <si>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</si>
  <si>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</si>
  <si>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</si>
  <si>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</si>
  <si>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</si>
  <si>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</si>
  <si>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</si>
  <si>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</si>
  <si>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</si>
  <si>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</si>
  <si>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</si>
  <si>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</si>
  <si>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</si>
  <si>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</si>
  <si>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</si>
  <si>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</si>
  <si>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</si>
  <si>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</si>
  <si>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</si>
  <si>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</si>
  <si>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</si>
  <si>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316207900-710-2</t>
  </si>
  <si>
    <t>HERRINGBONE TEXTURED JACKET</t>
  </si>
  <si>
    <t>Jacket made of wool blend fabric. Lapel collar and long sleeves. Welt pockets at hip. Front zip closure.</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</si>
  <si>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</si>
  <si>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</si>
  <si>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</si>
  <si>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</si>
  <si>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</si>
  <si>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</si>
  <si>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</si>
  <si>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</si>
  <si>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https://www.zara.com/us/en/cropped-leather-jacket-p02521104.html</t>
  </si>
  <si>
    <t>323134418-800-3</t>
  </si>
  <si>
    <t>CROPPED LEATHER JACKET</t>
  </si>
  <si>
    <t>Leather jacket. Cropped length. Lapel collar and long sleeves. Front hidden in-seam pockets. Front zip closure.</t>
  </si>
  <si>
    <t>https://www.zara.com/us/en/faux-leather-boxy-fit-jacket-p08281654.html</t>
  </si>
  <si>
    <t>311297555-706-2</t>
  </si>
  <si>
    <t>FAUX LEATHER BOXY FIT JACKET</t>
  </si>
  <si>
    <t>Boxy fit jacket. Lapel collar and long sleeves with buttoned cuffs. Welt pockets at hip. Front button closure.</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</si>
  <si>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</si>
  <si>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</si>
  <si>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</si>
  <si>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</si>
  <si>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</si>
  <si>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311292672-800-2</t>
  </si>
  <si>
    <t>FAUX SUEDE BOMBER JACKET</t>
  </si>
  <si>
    <t>Jacket made of faux suede fabric. Ribbed elastic high collar and long sleeve. Welt pockets at hip. Rib trim. Front zip closure.</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</si>
  <si>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</si>
  <si>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</si>
  <si>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</si>
  <si>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</si>
  <si>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</si>
  <si>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316205038-615-2</t>
  </si>
  <si>
    <t>BOUCLÃ‰ TEXTURED JACKET</t>
  </si>
  <si>
    <t>Cropped jacket made with wool blend fabric. High collar and long sleeves with elastic cuffs. Front patch pockets with flaps. Elastic hem. Front snap button closure.</t>
  </si>
  <si>
    <t>https://www.zara.com/us/en/suit-jacket-in-100-linen-p04307443.html</t>
  </si>
  <si>
    <t>322972473-052-46</t>
  </si>
  <si>
    <t>Straight fit blazer made of linen. Notched lapel collar and long sleeves with buttoned cuffs. Flap pockets at hip. Interior pocket. Back vents. Front button closure.</t>
  </si>
  <si>
    <t>https://www.zara.com/us/en/jacquard-denim-jacket-p07627402.html</t>
  </si>
  <si>
    <t>313845662-400-3</t>
  </si>
  <si>
    <t>JACQUARD DENIM JACKET</t>
  </si>
  <si>
    <t>Lapel collar jacket with long sleeves with buttoned cuffs. Patch pockets with flaps at chest and side pockets at hip. Front hidden button closure.</t>
  </si>
  <si>
    <t>https://www.zara.com/us/en/padded-denim-jacket-p01538413.html</t>
  </si>
  <si>
    <t>320264577-800-2</t>
  </si>
  <si>
    <t>PADDED DENIM JACKET</t>
  </si>
  <si>
    <t>Cropped jacket with lightly quilted interior. Lapel collar and long sleeves. Flap patch pockets at hip. Washed effect. Rib hems. Front zip closure.</t>
  </si>
  <si>
    <t>https://www.zara.com/us/en/leather-jacket-p05479400.html</t>
  </si>
  <si>
    <t>315529534-705-3</t>
  </si>
  <si>
    <t>LEATHER JACKET</t>
  </si>
  <si>
    <t>Relaxed fit jacket in leather. Spread collar and long sleeves with slit cuffs with button closure. Patch pockets at hip. Back vents. Front button closure.</t>
  </si>
  <si>
    <t>https://www.zara.com/us/en/lightweight-bomber-jacket-p08281315.html</t>
  </si>
  <si>
    <t>320423517-800-2</t>
  </si>
  <si>
    <t>LIGHTWEIGHT BOMBER JACKET</t>
  </si>
  <si>
    <t>Lightweight jacket made of technical fabric. Round neck and long sleeves. Welt pockets at hip. Interior pocket. Rib trim. Front zip closure.</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</si>
  <si>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</si>
  <si>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</si>
  <si>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</si>
  <si>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</si>
  <si>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</si>
  <si>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311309526-800-2</t>
  </si>
  <si>
    <t>FAUX LEATHER BOMBER JACKET</t>
  </si>
  <si>
    <t>Jacket made of faux leather fabric. High collar and long sleeves. Welt pockets at hip and interior pocket. Rib trim. Front zip closure.</t>
  </si>
  <si>
    <t>https://www.zara.com/us/en/patch-bomber-jacket-p03918330.html</t>
  </si>
  <si>
    <t>311287528-811-2</t>
  </si>
  <si>
    <t>PATCH BOMBER JACKET</t>
  </si>
  <si>
    <t>Varsity jacket made of faux suede fabric. Double welt pockets at hip and interior pocket. Front and back contrasting patch appliquÃ©s and embroidery. Rib trim. Front snap button closure.</t>
  </si>
  <si>
    <t>https://www.zara.com/us/en/stretch-pocket-overshirt-p07484478.html</t>
  </si>
  <si>
    <t>342657802-914-2</t>
  </si>
  <si>
    <t>STRETCH POCKET OVERSHIRT</t>
  </si>
  <si>
    <t>Overshirt made of stretchy fabric. Lapel collar and long sleeves with snap buttoned cuffs. Chest patch pockets. Front snap button closure.</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</si>
  <si>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</si>
  <si>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</si>
  <si>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</si>
  <si>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</si>
  <si>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</si>
  <si>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</si>
  <si>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</si>
  <si>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</si>
  <si>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https://www.zara.com/us/en/contrasting-patches-bomber-jacket-p06318411.html</t>
  </si>
  <si>
    <t>311307255-800-2</t>
  </si>
  <si>
    <t>CONTRASTING PATCHES BOMBER JACKET</t>
  </si>
  <si>
    <t>Varsity jacket with elastic collar and long sleeves. Welt pockets at hip and interior pocket. Embroidered appliquÃ© and contrast front and back patches. Rib trim. Front snap button closure.</t>
  </si>
  <si>
    <t>https://www.zara.com/us/en/patch-bomber-jacket-p03833404.html</t>
  </si>
  <si>
    <t>317129011-500-2</t>
  </si>
  <si>
    <t>Varsity jacket with padded interior. Rib elastic collar and long sleeves in contrast faux leather. Double welt pockets at hip and interior pocket. Contrasting patch appliquÃ©s at front and back. Rib trim. Front snap button closure.</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</si>
  <si>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</si>
  <si>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</si>
  <si>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</si>
  <si>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</si>
  <si>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</si>
  <si>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</si>
  <si>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</si>
  <si>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https://www.zara.com/us/en/faux-leather-bomber-jacket-p08281667.html</t>
  </si>
  <si>
    <t>317782474-800-2</t>
  </si>
  <si>
    <t>Jacket made of faux leather fabric. Rib elastic collar and long sleeves. Zip pockets with flaps at hip. Interior pocket. Elastic hem. Front zip closure.</t>
  </si>
  <si>
    <t>https://www.zara.com/us/en/bomber-jacket-p06318502.html</t>
  </si>
  <si>
    <t>315758723-401-2</t>
  </si>
  <si>
    <t>BOMBER JACKET</t>
  </si>
  <si>
    <t>Varsity jacket. High collar and long sleeves. Welt pockets at hip and interior pocket. Rib trim. Front snap button closure.</t>
  </si>
  <si>
    <t>https://www.zara.com/us/en/faux-suede-jacket-p08281652.html</t>
  </si>
  <si>
    <t>311302863-800-2</t>
  </si>
  <si>
    <t>FAUX SUEDE JACKET</t>
  </si>
  <si>
    <t>Lapel collar jacket with long sleeves with buttoned cuffs. Flap pockets at chest and welt pockets at hip. Front button closure.</t>
  </si>
  <si>
    <t>https://www.zara.com/us/en/faux-suede-bomber-jacket-p08574500.html</t>
  </si>
  <si>
    <t>311282759-806-2</t>
  </si>
  <si>
    <t>Jacket made of faux suede fabric. Rib elastic collar and long sleeves. Welt pockets at hip. Rib trim. Front zip closure.</t>
  </si>
  <si>
    <t>https://www.zara.com/us/en/suede-jacket-p02521102.html</t>
  </si>
  <si>
    <t>323134415-700-3</t>
  </si>
  <si>
    <t>SUEDE JACKET</t>
  </si>
  <si>
    <t>Jacket made of suede. Cropped length. Lapel collar and long sleeves. Front hidden in-seam pockets. Front zip closure.</t>
  </si>
  <si>
    <t>https://www.zara.com/us/en/contrasting-collar-jacket-p01538369.html</t>
  </si>
  <si>
    <t>312372582-526-2</t>
  </si>
  <si>
    <t>Jacket with lightly padded interior. Contrasting lapel collar. Long sleeves with buttoned cuffs. Washed effect. Double welt pockets at chest and hip. Front zip closure.</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</si>
  <si>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</si>
  <si>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</si>
  <si>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</si>
  <si>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</si>
  <si>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</si>
  <si>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</si>
  <si>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</si>
  <si>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</si>
  <si>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</si>
  <si>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</si>
  <si>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</si>
  <si>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</si>
  <si>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</si>
  <si>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</si>
  <si>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</si>
  <si>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</si>
  <si>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https://www.zara.com/us/en/faux-leather-jacket-p08281345.html</t>
  </si>
  <si>
    <t>311297763-800-2</t>
  </si>
  <si>
    <t>Jacket made of faux leather fabric. Lapel collar and long sleeves with snap buttoned cuffs. Welt pockets at hip. Front snap button closure.</t>
  </si>
  <si>
    <t>https://www.zara.com/us/en/faux-suede-jacket-p03548689.html</t>
  </si>
  <si>
    <t>311292194-731-2</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</si>
  <si>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</si>
  <si>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</si>
  <si>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</si>
  <si>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</si>
  <si>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</si>
  <si>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</si>
  <si>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</si>
  <si>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</si>
  <si>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https://www.zara.com/us/en/faux-suede-patch-jacket-p08281357.html</t>
  </si>
  <si>
    <t>312320664-251-2</t>
  </si>
  <si>
    <t>FAUX SUEDE PATCH JACKET</t>
  </si>
  <si>
    <t>Varsity jacket made of faux suede fabric. Lapel collar and long sleeves. Double welt pockets at hip and interior pocket. Front contrasting patch appliquÃ©s and embroidery. Rib trim. Front snap button closure.</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</si>
  <si>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</si>
  <si>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</si>
  <si>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</si>
  <si>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</si>
  <si>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</si>
  <si>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323216370-422-97</t>
  </si>
  <si>
    <t>Boxy bomber jacket. Rib elastic collar and long sleeves. Welt pockets at hip. Elasticized trim. Front zip closure.</t>
  </si>
  <si>
    <t>https://www.zara.com/us/en/textured-weave-overshirt-p01608101.html</t>
  </si>
  <si>
    <t>317107014-707-2</t>
  </si>
  <si>
    <t>TEXTURED WEAVE OVERSHIRT</t>
  </si>
  <si>
    <t>Relaxed fit overshirt. Lapel collar and long sleeves with buttoned cuffs. Side hidden in-seam pockets. Front button closure.</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</si>
  <si>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</si>
  <si>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</si>
  <si>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</si>
  <si>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</si>
  <si>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</si>
  <si>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</si>
  <si>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</si>
  <si>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</si>
  <si>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</si>
  <si>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267133943-711-2</t>
  </si>
  <si>
    <t>LIGHTWEIGHT PUFFER JACKET</t>
  </si>
  <si>
    <t>Padded jacket made of technical fabric. High collar and long sleeves. Welt pockets at hip. Elasticized trim. Front zip closure.</t>
  </si>
  <si>
    <t>https://www.zara.com/us/en/cotton-blend-bomber-jacket-p06518350.html</t>
  </si>
  <si>
    <t>318265017-401-2</t>
  </si>
  <si>
    <t>COTTON BLEND BOMBER JACKET</t>
  </si>
  <si>
    <t>Jacket made of cotton blend fabric. High collar and long sleeves. Welt pockets at hip. Rib trim. Cropped length. Front zip closure.</t>
  </si>
  <si>
    <t>https://www.zara.com/us/en/pocket-jacket-p06318507.html</t>
  </si>
  <si>
    <t>322410604-401-2</t>
  </si>
  <si>
    <t>POCKET JACKET</t>
  </si>
  <si>
    <t>Jacket made of dense technical fabric. Lapel collar and long sleeves with buttoned cuffs. Multi-functional front pockets. Front zip hidden by a snap button flap.</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</si>
  <si>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</si>
  <si>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</si>
  <si>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</si>
  <si>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</si>
  <si>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</si>
  <si>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320531693-707-2</t>
  </si>
  <si>
    <t>EMBROIDERED PATCH JACKET</t>
  </si>
  <si>
    <t>Roomy jacket made of lightweight fabric. Lapel collar and long sleeves with elastic cuffs. Contrasting patch appliquÃ©s with embroidery at front and back. Front pouch pocket. Elastic hem. Front zip closure.</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</si>
  <si>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</si>
  <si>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</si>
  <si>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</si>
  <si>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</si>
  <si>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https://www.zara.com/us/en/vintage-effect-leather-bomber-jacket-p02521300.html</t>
  </si>
  <si>
    <t>320774184-800-97</t>
  </si>
  <si>
    <t>VINTAGE EFFECT LEATHER BOMBER JACKET</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</si>
  <si>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</si>
  <si>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</si>
  <si>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</si>
  <si>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</si>
  <si>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</si>
  <si>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321501682-800-2</t>
  </si>
  <si>
    <t>WOOL BLEND JACKET</t>
  </si>
  <si>
    <t>Jacket made of wool blend fabric. Lapel collar and long sleeves. Welt pockets at hip and interior pocket. Rib trim. Front zip closure.</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</si>
  <si>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</si>
  <si>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</si>
  <si>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</si>
  <si>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</si>
  <si>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</si>
  <si>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311292541-802-2</t>
  </si>
  <si>
    <t>FLEECE BOMBER JACKET</t>
  </si>
  <si>
    <t>Jacket made of faux shearling fabric. Rib elastic collar and long sleeves. Welt pockets at hip and interior pocket. Rib trim. Front zip closure.</t>
  </si>
  <si>
    <t>https://www.zara.com/us/en/zippered-jacket-p04087418.html</t>
  </si>
  <si>
    <t>319205114-807-2</t>
  </si>
  <si>
    <t>ZIPPERED JACKET</t>
  </si>
  <si>
    <t>Lapel collar jacket with long sleeves. Front pouch pockets. Front zip closure.</t>
  </si>
  <si>
    <t>https://www.zara.com/us/en/cotton-jacket-p00706301.html</t>
  </si>
  <si>
    <t>276213846-500-2</t>
  </si>
  <si>
    <t>COTTON JACKET</t>
  </si>
  <si>
    <t>Lapel collar jacket with long sleeves with elastic cuffs. Patch pockets at hip. Elastic hem. Front snap button closure.</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</si>
  <si>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</si>
  <si>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</si>
  <si>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</si>
  <si>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</si>
  <si>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</si>
  <si>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323050745-798-97</t>
  </si>
  <si>
    <t>CONTRAST JACQUARD JACKET</t>
  </si>
  <si>
    <t>Full cut jacket with lapel collar and long sleeves. Front button closure.</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</si>
  <si>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</si>
  <si>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</si>
  <si>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</si>
  <si>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</si>
  <si>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</si>
  <si>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311297489-800-2</t>
  </si>
  <si>
    <t>CONTRASTING PATCHES HOODED JACKET</t>
  </si>
  <si>
    <t>Varsity jacket with stretchy collar and contrasting hood. Long sleeves. Welt pockets at hip and interior pocket. Embroidered appliquÃ© and contrast front and back patches. Rib trim. Front snap button closure.</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</si>
  <si>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</si>
  <si>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</si>
  <si>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</si>
  <si>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</si>
  <si>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https://www.zara.com/us/en/-p04310461.html</t>
  </si>
  <si>
    <t>336378923-700-2</t>
  </si>
  <si>
    <t>https://www.zara.com/us/en/lightweight-bomber-jacket-p04302404.html</t>
  </si>
  <si>
    <t>311292572-401-2</t>
  </si>
  <si>
    <t>https://www.zara.com/us/en/wool-blend-jacket-p05854654.html</t>
  </si>
  <si>
    <t>336821611-706-2</t>
  </si>
  <si>
    <t>Lapel collar jacket with long sleeves with buttoned cuffs. Chest patch pockets and welt pockets at hip. Front button closure.</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</si>
  <si>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</si>
  <si>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</si>
  <si>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</si>
  <si>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</si>
  <si>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</si>
  <si>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</si>
  <si>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</si>
  <si>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</si>
  <si>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</si>
  <si>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311297509-800-2</t>
  </si>
  <si>
    <t>https://www.zara.com/us/en/padded-bomber-jacket-p03918620.html</t>
  </si>
  <si>
    <t>315947178-800-2</t>
  </si>
  <si>
    <t>PADDED BOMBER JACKET</t>
  </si>
  <si>
    <t>Quilted jacket made of technical fabric. Lapel collar and long sleeves. Welt pockets at hip. Rib trim. Front zip closure.</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</si>
  <si>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</si>
  <si>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</si>
  <si>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</si>
  <si>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</si>
  <si>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</si>
  <si>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</si>
  <si>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</si>
  <si>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</si>
  <si>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</si>
  <si>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</si>
  <si>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</si>
  <si>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</si>
  <si>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</si>
  <si>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</si>
  <si>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</si>
  <si>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</si>
  <si>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328332050-700-97</t>
  </si>
  <si>
    <t>EMBROIDERED FOREST JACKET</t>
  </si>
  <si>
    <t>Jacket with lightly padded interior. Corduroy lapel collar. Long sleeves. Patch pockets at hip. Front button closure.</t>
  </si>
  <si>
    <t>https://www.zara.com/us/en/pocket-overshirt-p05070605.html</t>
  </si>
  <si>
    <t>311282469-505-2</t>
  </si>
  <si>
    <t>POCKET OVERSHIRT</t>
  </si>
  <si>
    <t>Cropped overshirt. Lapel collar and long sleeves with buttoned cuffs. Front patch pockets. Irregular finished seams. Front button closure.</t>
  </si>
  <si>
    <t>https://www.zara.com/us/en/boucle-textured-vest-p01437303.html</t>
  </si>
  <si>
    <t>319502128-515-2</t>
  </si>
  <si>
    <t>BOUCLE TEXTURED VEST</t>
  </si>
  <si>
    <t>Vest made of viscose and wool blend fabric. V-neckline. Patch pockets at hip. Front zip closure.</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</si>
  <si>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</si>
  <si>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</si>
  <si>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</si>
  <si>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</si>
  <si>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</si>
  <si>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</si>
  <si>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</si>
  <si>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</si>
  <si>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</si>
  <si>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</si>
  <si>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</si>
  <si>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</si>
  <si>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</si>
  <si>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322929313-802-97</t>
  </si>
  <si>
    <t>HOODED KNIT CARDIGAN</t>
  </si>
  <si>
    <t>Cotton knit jacket. Hooded collar and long sleeves. Rib trim. Front pouch pockets. Rib trim. Front zip closure.</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</si>
  <si>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</si>
  <si>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</si>
  <si>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</si>
  <si>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</si>
  <si>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</si>
  <si>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</si>
  <si>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</si>
  <si>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</si>
  <si>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https://www.zara.com/us/en/bomber-jacket-p05344402.html</t>
  </si>
  <si>
    <t>321496813-710-2</t>
  </si>
  <si>
    <t>Jacket with padded interior. Rib elastic collar and long sleeves. Flap pockets at hip and interior pocket. Rib trim. Front zip closure.</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</si>
  <si>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</si>
  <si>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</si>
  <si>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</si>
  <si>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</si>
  <si>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</si>
  <si>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</si>
  <si>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</si>
  <si>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</si>
  <si>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</si>
  <si>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</si>
  <si>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</si>
  <si>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</si>
  <si>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</si>
  <si>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</si>
  <si>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</si>
  <si>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</si>
  <si>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</si>
  <si>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</si>
  <si>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311302424-409-2</t>
  </si>
  <si>
    <t>Jacket made of technical fabric with lightly padded interior. Rib elastic collar and long sleeves. Zip pockets at hip. Elastic hem. Front zip closure.</t>
  </si>
  <si>
    <t>https://www.zara.com/us/en/pocket-jacket-p04297266.html</t>
  </si>
  <si>
    <t>329158644-605-2</t>
  </si>
  <si>
    <t>Regular fit jacket with lapel collar and long sleeves. Patch pockets at chest and hip. Front button closure.</t>
  </si>
  <si>
    <t>https://www.zara.com/us/en/slim-fit-suit-jacket-p04239493.html</t>
  </si>
  <si>
    <t>329300083-705-48</t>
  </si>
  <si>
    <t>https://www.zara.com/us/en/mixed-collar-jacket-p03046507.html</t>
  </si>
  <si>
    <t>323212374-510-2</t>
  </si>
  <si>
    <t>MIXED COLLAR JACKET</t>
  </si>
  <si>
    <t>Jacket made of technical fabric with lightly padded interior. Rib high collar. Long sleeves with elastic cuffs. Patch pockets at hip. Front zip closure.</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</si>
  <si>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</si>
  <si>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</si>
  <si>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</si>
  <si>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</si>
  <si>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</si>
  <si>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</si>
  <si>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</si>
  <si>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</si>
  <si>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</si>
  <si>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320771732-800-2</t>
  </si>
  <si>
    <t>WOOL BLEND FELT TEXTURE JACKET</t>
  </si>
  <si>
    <t>Cropped jacket made with wool blend fabric. Lapel collar and long sleeves. Welt pockets at hip. Front hidden button closure.</t>
  </si>
  <si>
    <t>https://www.zara.com/us/en/printed-denim-overshirt-p02553808.html</t>
  </si>
  <si>
    <t>289179723-020-2</t>
  </si>
  <si>
    <t>PRINTED DENIM OVERSHIRT</t>
  </si>
  <si>
    <t>Boxy fit overshirt. Lapel collar and short sleeves. Front snap button closure.</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</si>
  <si>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</si>
  <si>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</si>
  <si>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</si>
  <si>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</si>
  <si>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</si>
  <si>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</si>
  <si>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</si>
  <si>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</si>
  <si>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https://www.zara.com/us/en/reversible-plaid-overshirt-p09621301.html</t>
  </si>
  <si>
    <t>311282298-099-2</t>
  </si>
  <si>
    <t>REVERSIBLE PLAID OVERSHIRT</t>
  </si>
  <si>
    <t>Relaxed fit reversible overshirt. Italian collar and long sleeves with buttoned cuffs. Chest patch pocket. Front button closure.</t>
  </si>
  <si>
    <t>https://www.zara.com/us/en/plaid-overshirt-p01300100.html</t>
  </si>
  <si>
    <t>322612356-505-2</t>
  </si>
  <si>
    <t>PLAID OVERSHIRT</t>
  </si>
  <si>
    <t>Relaxed fit overshirt made with cotton fabric. Lapel collar and long sleeves with buttoned cuffs. Patch pockets at hip. Washed effect. Front button closure.</t>
  </si>
  <si>
    <t>https://www.zara.com/us/en/pocket-overshirt-p00706621.html</t>
  </si>
  <si>
    <t>311282631-712-2</t>
  </si>
  <si>
    <t>Relaxed fit overshirt. Lapel collar and long sleeves with adjustable button cuffs. Welt pockets at hip. Front zip hidden by a snap button flap.</t>
  </si>
  <si>
    <t>https://www.zara.com/us/en/100-linen-overshirt-p04224708.html</t>
  </si>
  <si>
    <t>329282612-401-2</t>
  </si>
  <si>
    <t>100% LINEN OVERSHIRT</t>
  </si>
  <si>
    <t>Relaxed fit overshirt made of linen fabric. Lapel collar and long sleeves with buttoned cuffs. Chest patch pockets. Front button closure.</t>
  </si>
  <si>
    <t>https://www.zara.com/us/en/plaid-overshirt-p08281303.html</t>
  </si>
  <si>
    <t>320026789-714-2</t>
  </si>
  <si>
    <t>Relaxed fit overshirt made of viscose blend fabric. Lapel collar and long sleeves with buttoned cuffs. Chest patch pocket. Front button closure.</t>
  </si>
  <si>
    <t>https://www.zara.com/us/en/pocket-denim-overshirt-p01472403.html</t>
  </si>
  <si>
    <t>323216360-406-2</t>
  </si>
  <si>
    <t>POCKET DENIM OVERSHIRT</t>
  </si>
  <si>
    <t>Boxy fit overshirt. Lapel collar and long sleeves with buttoned cuffs. Chest patch pockets. Washed effect. Front button closure.</t>
  </si>
  <si>
    <t>https://www.zara.com/us/en/faux-suede-overshirt-p03715303.html</t>
  </si>
  <si>
    <t>318209963-800-2</t>
  </si>
  <si>
    <t>FAUX SUEDE OVERSHIRT</t>
  </si>
  <si>
    <t>Relaxed fit overshirt. Lapel collar and long sleeves. Chest patch pocket. Front snap button closure.</t>
  </si>
  <si>
    <t>https://www.zara.com/us/en/plaid-overshirt-p00794432.html</t>
  </si>
  <si>
    <t>316727555-700-2</t>
  </si>
  <si>
    <t>Regular fit overshirt. Lapel collar and long sleeves with buttoned cuffs. Front zip closure.</t>
  </si>
  <si>
    <t>https://www.zara.com/us/en/textured-pocket-overshirt-p01934436.html</t>
  </si>
  <si>
    <t>312571093-710-2</t>
  </si>
  <si>
    <t>TEXTURED POCKET OVERSHIRT</t>
  </si>
  <si>
    <t>Overshirt made of diagonal textured cotton fabric. Lapel collar and long sleeves with buttoned cuffs. Patch pockets at hip. Front button closure.</t>
  </si>
  <si>
    <t>https://www.zara.com/us/en/pocket-overshirt-p04466468.html</t>
  </si>
  <si>
    <t>330290387-401-2</t>
  </si>
  <si>
    <t>Relaxed fit overshirt made of 25% wool fabric. Lapel collar and long sleeves with buttoned cuffs. Patch pocket at chest and side pockets at hip. Front button closure.</t>
  </si>
  <si>
    <t>https://www.zara.com/us/en/overshirt-p00706623.html</t>
  </si>
  <si>
    <t>313027279-800-2</t>
  </si>
  <si>
    <t>OVERSHIRT</t>
  </si>
  <si>
    <t>Relaxed fit overshirt made of stretch fabric. Lapel collar and long sleeves with buttoned cuffs. Chest patch pocket. Front button closure.</t>
  </si>
  <si>
    <t>https://www.zara.com/us/en/plaid-overshirt-p04266381.html</t>
  </si>
  <si>
    <t>320671529-802-2</t>
  </si>
  <si>
    <t>Cropped overshirt. Lapel collar and long sleeves with buttoned cuffs. Chest patch pocket. Irregular trim. Front button closure.</t>
  </si>
  <si>
    <t>https://www.zara.com/us/en/pocket-overshirt-p05070314.html</t>
  </si>
  <si>
    <t>323646471-802-2</t>
  </si>
  <si>
    <t>Overshirt with lapel collar and long sleeves with buttoned cuffs. Chest patch pocket. Front button closure.</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</si>
  <si>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</si>
  <si>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</si>
  <si>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</si>
  <si>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</si>
  <si>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</si>
  <si>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</si>
  <si>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</si>
  <si>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</si>
  <si>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https://www.zara.com/us/en/paint-print-overshirt-p05320305.html</t>
  </si>
  <si>
    <t>281883711-071-2</t>
  </si>
  <si>
    <t>PAINT PRINT OVERSHIRT</t>
  </si>
  <si>
    <t>Relaxed fit overshirt. Lapel collar and long sleeves with snap button cuffs. Chest patch pockets. Side vents at hem. Front snap button closure.</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</si>
  <si>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</si>
  <si>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</si>
  <si>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</si>
  <si>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</si>
  <si>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https://www.zara.com/us/en/plaid-tie-dye-overshirt-p01063313.html</t>
  </si>
  <si>
    <t>281593208-015-2</t>
  </si>
  <si>
    <t>PLAID TIE DYE OVERSHIRT</t>
  </si>
  <si>
    <t>Regular fit overshirt made of cotton. Lapel collar and long sleeves with buttoned cuffs. Chest patch pockets. Front button closure.</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</si>
  <si>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</si>
  <si>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</si>
  <si>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</si>
  <si>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</si>
  <si>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</si>
  <si>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</si>
  <si>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</si>
  <si>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</si>
  <si>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https://www.zara.com/us/en/technical-overshirt-p05320500.html</t>
  </si>
  <si>
    <t>321993245-500-2</t>
  </si>
  <si>
    <t>TECHNICAL OVERSHIRT</t>
  </si>
  <si>
    <t>Regular fit overshirt with lightly padded interior. Lapel collar and long sleeves with buttoned cuffs. Flap pockets at hip. Front button closure.</t>
  </si>
  <si>
    <t>https://www.zara.com/us/en/plaid-overshirt-p07446410.html</t>
  </si>
  <si>
    <t>330590505-500-2</t>
  </si>
  <si>
    <t>Relaxed fit overshirt. Lapel collar and long sleeves with buttoned cuffs. Chest patch pocket. Front button closure.</t>
  </si>
  <si>
    <t>https://www.zara.com/us/en/suede-fisherman-sandals-p12436320.html</t>
  </si>
  <si>
    <t>320680326-107-39</t>
  </si>
  <si>
    <t>SUEDE FISHERMAN SANDALS</t>
  </si>
  <si>
    <t>Fisherman sandals. Made of leather with a suede finish. Crossed straps at front. Buckled ankle strap closure. Slightly chunky soles.</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</si>
  <si>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</si>
  <si>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</si>
  <si>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</si>
  <si>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</si>
  <si>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</si>
  <si>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https://www.zara.com/us/en/suede-laceless-sneakers-p12221320.html</t>
  </si>
  <si>
    <t>311307610-400-39</t>
  </si>
  <si>
    <t>SUEDE LACELESS SNEAKERS</t>
  </si>
  <si>
    <t>Slip on sneakers. Made of leather with a suede finish. Upper in a combination of pieces. Chunky sole.</t>
  </si>
  <si>
    <t>https://www.zara.com/us/en/multicolor-sneakers-p12304320.html</t>
  </si>
  <si>
    <t>311302877-203-39</t>
  </si>
  <si>
    <t>MULTICOLOR SNEAKERS</t>
  </si>
  <si>
    <t>Sneakers. Combination of colors and pieces at upper. Lacing with six pairs of eyelets. Chunky rubber sole with irregular design.</t>
  </si>
  <si>
    <t>https://www.zara.com/us/en/retro-running-sneakers-p12350320.html</t>
  </si>
  <si>
    <t>311302598-500-39</t>
  </si>
  <si>
    <t>RETRO RUNNING SNEAKERS</t>
  </si>
  <si>
    <t>Running shoes. Upper in a combination of pieces and materials. Lacing with seven pairs of eyelets. Chunky lug soles. Retro-inspired design.</t>
  </si>
  <si>
    <t>https://www.zara.com/us/en/suede-high-tops-p12120320.html</t>
  </si>
  <si>
    <t>311297328-800-39</t>
  </si>
  <si>
    <t>SUEDE HIGH-TOPS</t>
  </si>
  <si>
    <t>High top sneakers. Upper in a combination of pieces and materials. Lacing with seven pairs of eyelets. Chunky tonal sole.</t>
  </si>
  <si>
    <t>https://www.zara.com/us/en/suede-strap-sandals-p12707320.html</t>
  </si>
  <si>
    <t>311302865-804-39</t>
  </si>
  <si>
    <t>SUEDE STRAP SANDALS</t>
  </si>
  <si>
    <t>Sandals. Made of leather with a suede finish. Two crossed wide straps at instep. Thick lightweight soles.</t>
  </si>
  <si>
    <t>https://www.zara.com/us/en/multipiece-sneakers-p12215320.html</t>
  </si>
  <si>
    <t>311307489-203-39</t>
  </si>
  <si>
    <t>MULTIPIECE SNEAKERS</t>
  </si>
  <si>
    <t>Sneakers. Upper in a combination of pieces and colors. Lacing with seven pairs of eyelets. Chunky sole with a combination of colors. Retro-inspired design.</t>
  </si>
  <si>
    <t>https://www.zara.com/us/en/topstitch-sneakers-p12240320.html</t>
  </si>
  <si>
    <t>311287075-120-39</t>
  </si>
  <si>
    <t>TOPSTITCH SNEAKERS</t>
  </si>
  <si>
    <t>Sneakers. Pieces and topstitching at upper. Lacing with six pairs of eyelets. Contrasting slightly chunky soles.</t>
  </si>
  <si>
    <t>https://www.zara.com/us/en/retro-sneakers-p12280220.html</t>
  </si>
  <si>
    <t>276378605-515-39</t>
  </si>
  <si>
    <t>RETRO SNEAKERS</t>
  </si>
  <si>
    <t>Sneakers. Upper in a combination of pieces and materials. Lacing with seven pairs of eyelets. Quilted back piece. Chunky sole. Retro style.</t>
  </si>
  <si>
    <t>https://www.zara.com/us/en/retro-high-top-sneakers-p12180220.html</t>
  </si>
  <si>
    <t>277776476-700-39</t>
  </si>
  <si>
    <t>RETRO HIGH TOP SNEAKERS</t>
  </si>
  <si>
    <t>High-top sneakers. Upper in a combination of pieces. Laces with ten pairs of eyelets. Chunky sole.</t>
  </si>
  <si>
    <t>https://www.zara.com/us/en/multi-pieced-retro-sneakers-p12220320.html</t>
  </si>
  <si>
    <t>313381662-202-39</t>
  </si>
  <si>
    <t>MULTI-PIECED RETRO SNEAKERS</t>
  </si>
  <si>
    <t>Sneakers. Upper in a combination of pieces and colors. Lacing with six pairs of eyelets. Textured chunky soles. Retro style.</t>
  </si>
  <si>
    <t>https://www.zara.com/us/en/tassel-leather-loafers-p12609320.html</t>
  </si>
  <si>
    <t>311292343-700-39</t>
  </si>
  <si>
    <t>TASSEL LEATHER LOAFERS</t>
  </si>
  <si>
    <t>Loafers. Made of leather. Smooth upper with ruching at toe. Decorative fringed tassels at instep. Rounded shape. Welt around upper. Chunky lug soles.</t>
  </si>
  <si>
    <t>https://www.zara.com/us/en/moc-toe-suede-boots-p12015320.html</t>
  </si>
  <si>
    <t>311309627-805-39</t>
  </si>
  <si>
    <t>MOC-TOE SUEDE BOOTS</t>
  </si>
  <si>
    <t>Suede leather boots. Ridged seam detail at upper. Lacing with two pairs of eyelets. Welt around upper. Slightly chunky sole.</t>
  </si>
  <si>
    <t>https://www.zara.com/us/en/strap-sandals-p12765320.html</t>
  </si>
  <si>
    <t>315851805-800-39</t>
  </si>
  <si>
    <t>STRAP SANDALS</t>
  </si>
  <si>
    <t>Sandals with two straps. The thin straps hug the instep. Slightly chunky sole.</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</si>
  <si>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</si>
  <si>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</si>
  <si>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</si>
  <si>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</si>
  <si>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https://www.zara.com/us/en/hiking-boots-p12103320.html</t>
  </si>
  <si>
    <t>311302552-800-39</t>
  </si>
  <si>
    <t>HIKING BOOTS</t>
  </si>
  <si>
    <t>Lace-up boots. Upper in a combination of pieces and finishes. Laces with metal appliquÃ©s and seven pairs of eyelets. Welt detail around upper. Rounded shape. Chunky lug soles.</t>
  </si>
  <si>
    <t>https://www.zara.com/us/en/suede-sneakers-p12502320.html</t>
  </si>
  <si>
    <t>311302532-102-39</t>
  </si>
  <si>
    <t>SUEDE SNEAKERS</t>
  </si>
  <si>
    <t>Sneakers. Made of leather with a suede finish. Laces with five pairs of eyelets. Chunky soles.</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</si>
  <si>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</si>
  <si>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</si>
  <si>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</si>
  <si>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</si>
  <si>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</si>
  <si>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</si>
  <si>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</si>
  <si>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</si>
  <si>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</si>
  <si>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</si>
  <si>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</si>
  <si>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</si>
  <si>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https://www.zara.com/us/en/chunky-sole-canvas-lace-up-boots-p12005320.html</t>
  </si>
  <si>
    <t>311287149-800-39</t>
  </si>
  <si>
    <t>CHUNKY SOLE CANVAS LACE-UP BOOTS</t>
  </si>
  <si>
    <t>High shaft boots. Lacing with eight pairs of eyelets. Back pull tab for ease. Rounded shape. Chunky lug soles.</t>
  </si>
  <si>
    <t>https://www.zara.com/us/en/suede-penny-loafers-p12644320.html</t>
  </si>
  <si>
    <t>311307624-500-39</t>
  </si>
  <si>
    <t>SUEDE PENNY LOAFERS</t>
  </si>
  <si>
    <t>Loafers. Made of leather with a suede finish. Ornamental saddle detail at instep. Rounded shape. Contrasting colored sole.</t>
  </si>
  <si>
    <t>https://www.zara.com/us/en/adherent-stripes-sneakers-p12269320.html</t>
  </si>
  <si>
    <t>311282212-800-39</t>
  </si>
  <si>
    <t>ADHERENT STRIPES SNEAKERS</t>
  </si>
  <si>
    <t>Sneakers. Monochromatic. Upper in a combination of pieces. Closure with three adhesive straps. Slightly chunky sole.</t>
  </si>
  <si>
    <t>https://www.zara.com/us/en/multipiece-sneakers-p12318220.html</t>
  </si>
  <si>
    <t>311292281-203-39</t>
  </si>
  <si>
    <t>Running shoes. Upper in a combination of pieces and finishes. Lacing with six pairs of eyelets. Chunky soles with irregular design. Lug soles. Trek style.</t>
  </si>
  <si>
    <t>https://www.zara.com/us/en/chunky-sole-high-top-sneakers-p12104320.html</t>
  </si>
  <si>
    <t>311302515-800-39</t>
  </si>
  <si>
    <t>CHUNKY SOLE HIGH TOP SNEAKERS</t>
  </si>
  <si>
    <t>High top sneakers. Lacing with nine pairs of eyelets. Contrasting foxing around the upper. Chunky rubberized soles.</t>
  </si>
  <si>
    <t>https://www.zara.com/us/en/contrast-sole-leather-sneakers-p12510320.html</t>
  </si>
  <si>
    <t>314937773-800-39</t>
  </si>
  <si>
    <t>CONTRAST SOLE LEATHER SNEAKERS</t>
  </si>
  <si>
    <t>Sneakers. Made of leather. Upper in a combination of pieces and finishes. Lacing with six pairs of eyelets. Rounded shape. Chunky sole.</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</si>
  <si>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</si>
  <si>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</si>
  <si>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</si>
  <si>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</si>
  <si>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https://www.zara.com/us/en/woven-leather-slides-p12708320.html</t>
  </si>
  <si>
    <t>319205037-800-39</t>
  </si>
  <si>
    <t>WOVEN LEATHER SLIDES</t>
  </si>
  <si>
    <t>Sandals. Made of leather. Three woven wide straps at instep. Chunky sole.</t>
  </si>
  <si>
    <t>https://www.zara.com/us/en/suede-sneakers-p12216320.html</t>
  </si>
  <si>
    <t>311307495-131-39</t>
  </si>
  <si>
    <t>Sneakers. Made of leather with a suede finish. Contrast lacing with seven pairs of eyelets. Welt around upper. Chunky sole.</t>
  </si>
  <si>
    <t>https://www.zara.com/us/en/asymmetric-cropped-knit-sweater-p06771149.html</t>
  </si>
  <si>
    <t>336449731-712-1</t>
  </si>
  <si>
    <t>ASYMMETRIC CROPPED KNIT SWEATER</t>
  </si>
  <si>
    <t>Woven V-neckline long sleeve sweater. Asymmetric hem.</t>
  </si>
  <si>
    <t>sweaters</t>
  </si>
  <si>
    <t>WOMAN</t>
  </si>
  <si>
    <t>https://www.zara.com/us/en/knit-sweater-with-pearls-p02142249.html</t>
  </si>
  <si>
    <t>313890651-712-2</t>
  </si>
  <si>
    <t>KNIT SWEATER WITH PEARLS</t>
  </si>
  <si>
    <t>Sweater made with 22% wool and 10% alpaca. Round neck and long sleeves. Faux pearl appliquÃ©.</t>
  </si>
  <si>
    <t>https://www.zara.com/us/en/high-collar-knit-sweater-p01509118.html</t>
  </si>
  <si>
    <t>287414911-803-2</t>
  </si>
  <si>
    <t>HIGH COLLAR KNIT SWEATER</t>
  </si>
  <si>
    <t>Sweater with high collar and long sleeves. Front pocket. Side vents at hem. Rib trim.</t>
  </si>
  <si>
    <t>https://www.zara.com/us/en/striped-knit-sweater-p06427115.html</t>
  </si>
  <si>
    <t>342171615-104-2</t>
  </si>
  <si>
    <t>STRIPED KNIT SWEATER</t>
  </si>
  <si>
    <t>Sweater with high collar and long sleeves. Front zip closure.</t>
  </si>
  <si>
    <t>https://www.zara.com/us/en/cable-knit-metallic-sweater-p04369103.html</t>
  </si>
  <si>
    <t>314152967-485-2</t>
  </si>
  <si>
    <t>CABLE KNIT METALLIC SWEATER</t>
  </si>
  <si>
    <t>Round neck long sleeve sweater. Metallic fabric detail and frayed trim.</t>
  </si>
  <si>
    <t>https://www.zara.com/us/en/asymmetrical-wool-and-silk-blend-sweater-p09598025.html</t>
  </si>
  <si>
    <t>324186867-642-2</t>
  </si>
  <si>
    <t>ASYMMETRICAL WOOL AND SILK BLEND SWEATER</t>
  </si>
  <si>
    <t>Wool and silk blend sweater. Asymmetric neckline and long sleeves.</t>
  </si>
  <si>
    <t>https://www.zara.com/us/en/wool-and-cashmere-blend-rib-sweater-p02893054.html</t>
  </si>
  <si>
    <t>316900618-809-2</t>
  </si>
  <si>
    <t>WOOL AND CASHMERE BLEND RIB SWEATER</t>
  </si>
  <si>
    <t>Sweater made with 80% wool and 20% cashmere. Round neck and long sleeves.</t>
  </si>
  <si>
    <t>https://www.zara.com/us/en/alpaca-and-wool-blend-tie-dye-knit-sweater-p02142220.html</t>
  </si>
  <si>
    <t>313890645-330-2</t>
  </si>
  <si>
    <t>ALPACA AND WOOL BLEND TIE DYE KNIT SWEATER</t>
  </si>
  <si>
    <t>Sweater made with 31% wool and 28% alpaca. Round neck and long sleeves.</t>
  </si>
  <si>
    <t>https://www.zara.com/us/en/mock-neck-wool-and-silk-blend-knit-top-p09598125.html</t>
  </si>
  <si>
    <t>324597432-800-2</t>
  </si>
  <si>
    <t>MOCK NECK WOOL AND SILK BLEND KNIT TOP</t>
  </si>
  <si>
    <t>Wool and silk blend top. High collar and long sleeves.</t>
  </si>
  <si>
    <t>https://www.zara.com/us/en/cashmere-blend-knit-sweater-p02893169.html</t>
  </si>
  <si>
    <t>313890686-731-2</t>
  </si>
  <si>
    <t>CASHMERE BLEND KNIT SWEATER</t>
  </si>
  <si>
    <t>Sweater made with 95% cashmere. V-neck and long sleeves. Rib trim.</t>
  </si>
  <si>
    <t>https://www.zara.com/us/en/alpaca-blend-open-knit-sweater-p05755132.html</t>
  </si>
  <si>
    <t>313890650-712-2</t>
  </si>
  <si>
    <t>ALPACA BLEND OPEN KNIT SWEATER</t>
  </si>
  <si>
    <t>Sweater made with 63% alpaca. Round neck and long sleeves.</t>
  </si>
  <si>
    <t>https://www.zara.com/us/en/oversized-knit-sweater-p09598288.html</t>
  </si>
  <si>
    <t>313890680-450-2</t>
  </si>
  <si>
    <t>OVERSIZED KNIT SWEATER</t>
  </si>
  <si>
    <t>Sweater made with 20% wool and 17% alpaca. Crew neck and long sleeves. Tonal rib trim.</t>
  </si>
  <si>
    <t>https://www.zara.com/us/en/wool-blend-knit-sweater-p02893159.html</t>
  </si>
  <si>
    <t>344575855-982-2</t>
  </si>
  <si>
    <t>WOOL BLEND KNIT SWEATER</t>
  </si>
  <si>
    <t>Sweater made with 31% wool. Round neck and long sleeves. Rib trim.</t>
  </si>
  <si>
    <t>https://www.zara.com/us/en/soft-jewel-sweater-p02298153.html</t>
  </si>
  <si>
    <t>323175653-803-2</t>
  </si>
  <si>
    <t>SOFT JEWEL SWEATER</t>
  </si>
  <si>
    <t>Sweater made of soft touch fabric. Round neckline with jewel appliquÃ©s and long sleeves.</t>
  </si>
  <si>
    <t>https://www.zara.com/us/en/faux-fur-jewel-sweater-p07901339.html</t>
  </si>
  <si>
    <t>324814227-400-2</t>
  </si>
  <si>
    <t>FAUX FUR JEWEL SWEATER</t>
  </si>
  <si>
    <t>Round neck short sleeve sweater. Soft feel faux fur fabric. Jewel appliquÃ©s.</t>
  </si>
  <si>
    <t>https://www.zara.com/us/en/metal-bead-knit-sweater-p03920018.html</t>
  </si>
  <si>
    <t>323218942-800-2</t>
  </si>
  <si>
    <t>METAL BEAD KNIT SWEATER</t>
  </si>
  <si>
    <t>Round neck long sleeve sweater. Side slit at hem with metal bead appliquÃ©s.</t>
  </si>
  <si>
    <t>https://www.zara.com/us/en/knit-sweater-with-buttons-p08851131.html</t>
  </si>
  <si>
    <t>313890656-800-2</t>
  </si>
  <si>
    <t>KNIT SWEATER WITH BUTTONS</t>
  </si>
  <si>
    <t>Basic sweater with round neck and long sleeves. Side button details at shoulders.</t>
  </si>
  <si>
    <t>https://www.zara.com/us/en/jewel-knit-sweater-p05755005.html</t>
  </si>
  <si>
    <t>321480271-802-2</t>
  </si>
  <si>
    <t>JEWEL KNIT SWEATER</t>
  </si>
  <si>
    <t>Round neck sweater with jewel appliquÃ©s and long sleeves. Back opening with button closure.</t>
  </si>
  <si>
    <t>https://www.zara.com/us/en/knit-sweater-with-piping-p05536151.html</t>
  </si>
  <si>
    <t>311297787-806-1</t>
  </si>
  <si>
    <t>KNIT SWEATER WITH PIPING</t>
  </si>
  <si>
    <t>Round neck long sleeve sweater. Contrasting piping detail. Rib trim.</t>
  </si>
  <si>
    <t>https://www.zara.com/us/en/fine-knit-crop-sweater-p09598029.html</t>
  </si>
  <si>
    <t>322677494-446-1</t>
  </si>
  <si>
    <t>FINE KNIT CROP SWEATER</t>
  </si>
  <si>
    <t>Cropped fine knit sweater with round neck and long sleeves.</t>
  </si>
  <si>
    <t>https://www.zara.com/us/en/knit-sweater-with-rips-p00021110.html</t>
  </si>
  <si>
    <t>313890688-330-1</t>
  </si>
  <si>
    <t>KNIT SWEATER WITH RIPS</t>
  </si>
  <si>
    <t>Round neck long sleeve sweater. Openwork detail with rips.</t>
  </si>
  <si>
    <t>https://www.zara.com/us/en/gathered-waist-knit-sweater-p05536012.html</t>
  </si>
  <si>
    <t>322451460-800-1</t>
  </si>
  <si>
    <t>GATHERED WAIST KNIT SWEATER</t>
  </si>
  <si>
    <t>Round neck long sleeve sweater. Fitted waist with side ruching.</t>
  </si>
  <si>
    <t>https://www.zara.com/us/en/knit-v-neck-sweater-p06771003.html</t>
  </si>
  <si>
    <t>319465261-800-2</t>
  </si>
  <si>
    <t>KNIT V-NECK SWEATER</t>
  </si>
  <si>
    <t>V-neck sweater with long sleeves. Rib trim.</t>
  </si>
  <si>
    <t>https://www.zara.com/us/en/basic-foil-knit-sweater-p00506101.html</t>
  </si>
  <si>
    <t>317331009-312-2</t>
  </si>
  <si>
    <t>BASIC FOIL KNIT SWEATER</t>
  </si>
  <si>
    <t>Round neck long sleeve sweater. Rib trim.</t>
  </si>
  <si>
    <t>https://www.zara.com/us/en/contrast-topstitching-crop-knit-sweater-p09598003.html</t>
  </si>
  <si>
    <t>311297400-803-1</t>
  </si>
  <si>
    <t>CONTRAST TOPSTITCHING CROP KNIT SWEATER</t>
  </si>
  <si>
    <t>V-neck cropped sweater with long sleeves. Front patch pockets. Contrast topstitching.</t>
  </si>
  <si>
    <t>https://www.zara.com/us/en/striped-crop-knit-sweater-p06771158.html</t>
  </si>
  <si>
    <t>336449779-104-1</t>
  </si>
  <si>
    <t>STRIPED CROP KNIT SWEATER</t>
  </si>
  <si>
    <t>Long sleeve high collar cropped sweater. Frayed hem.</t>
  </si>
  <si>
    <t>https://www.zara.com/us/en/basic-knit-sweater-p01509115.html</t>
  </si>
  <si>
    <t>324593343-043-2</t>
  </si>
  <si>
    <t>BASIC KNIT SWEATER</t>
  </si>
  <si>
    <t>Long sleeve round neck sweater. Side vents at hem. Rib trim.</t>
  </si>
  <si>
    <t>https://www.zara.com/us/en/v-neck-knit-sweater-p03519001.html</t>
  </si>
  <si>
    <t>319473750-809-1</t>
  </si>
  <si>
    <t>V-NECK KNIT SWEATER</t>
  </si>
  <si>
    <t>V-neck sweater with long sleeves. Side vents at hem.</t>
  </si>
  <si>
    <t>https://www.zara.com/us/en/foil-knit-crop-sweater-p06771001.html</t>
  </si>
  <si>
    <t>331789902-808-1</t>
  </si>
  <si>
    <t>FOIL KNIT CROP SWEATER</t>
  </si>
  <si>
    <t>Ribbed sweater with round neck and long sleeves. Ripped hem.</t>
  </si>
  <si>
    <t>https://www.zara.com/us/en/basic-100-wool-sweater-p02893106.html</t>
  </si>
  <si>
    <t>300250126-401-2</t>
  </si>
  <si>
    <t>BASIC 100% WOOL SWEATER</t>
  </si>
  <si>
    <t>Sweater made of 100% wool. Round neck and long sleeves. Ribbed trim.</t>
  </si>
  <si>
    <t>https://www.zara.com/us/en/colorblock-knit-crop-sweater-p05536008.html</t>
  </si>
  <si>
    <t>320052978-401-2</t>
  </si>
  <si>
    <t>COLORBLOCK KNIT CROP SWEATER</t>
  </si>
  <si>
    <t>Short sweater with round neck and long sleeves.</t>
  </si>
  <si>
    <t>https://www.zara.com/us/en/fine-knit-sweater-p09598045.html</t>
  </si>
  <si>
    <t>324722597-400-2</t>
  </si>
  <si>
    <t>FINE KNIT SWEATER</t>
  </si>
  <si>
    <t>V-neck sweater with long sleeves.</t>
  </si>
  <si>
    <t>https://www.zara.com/us/en/knit-open-back-pearly-sweater-p04331152.html</t>
  </si>
  <si>
    <t>328207551-500-2</t>
  </si>
  <si>
    <t>KNIT OPEN BACK PEARLY SWEATER</t>
  </si>
  <si>
    <t>High collar sweater with long sleeves. Open back detail and pearl appliquÃ©s. Back button closure.</t>
  </si>
  <si>
    <t>https://www.zara.com/us/en/knit-pearl-sweater-p04331165.html</t>
  </si>
  <si>
    <t>318131967-800-2</t>
  </si>
  <si>
    <t>KNIT PEARL SWEATER</t>
  </si>
  <si>
    <t>Round neck long sleeve sweater. Tonal pearl appliquÃ©s and open back with tie.</t>
  </si>
  <si>
    <t>https://www.zara.com/us/en/striped-textured-overshirt-p04179056.html</t>
  </si>
  <si>
    <t>324027512-064-2</t>
  </si>
  <si>
    <t>STRIPED TEXTURED OVERSHIRT</t>
  </si>
  <si>
    <t>Relaxed fit overshirt. Lapel collar and long sleeves with buttoned cuffs. Patch pockets at hip. Front button closure.</t>
  </si>
  <si>
    <t>https://www.zara.com/us/en/fleece-overshirt-p01248320.html</t>
  </si>
  <si>
    <t>311292623-712-97</t>
  </si>
  <si>
    <t>FLEECE OVERSHIRT</t>
  </si>
  <si>
    <t>Regular fit overshirt. Lapel collar and long sleeves with buttoned cuffs. Chest patch pockets. Front button closure.</t>
  </si>
  <si>
    <t>https://www.zara.com/us/en/plaid-overshirt-p04054659.html</t>
  </si>
  <si>
    <t>319162032-064-2</t>
  </si>
  <si>
    <t>Relaxed fit overshirt. Lapel collar and long sleeves with buttoned cuffs. Chest patch pockets. Front button closure.</t>
  </si>
  <si>
    <t>https://www.zara.com/us/en/baggy-fit-jeans-limited-edition-p03991480.html</t>
  </si>
  <si>
    <t>324908098-800-38</t>
  </si>
  <si>
    <t>BAGGY FIT JEANS LIMITED EDITION</t>
  </si>
  <si>
    <t>Baggy jeans. Five pockets. Washed effect. Front zip and button closure.</t>
  </si>
  <si>
    <t>jeans</t>
  </si>
  <si>
    <t>https://www.zara.com/us/en/baggy-belted-jeans-p04365401.html</t>
  </si>
  <si>
    <t>326540983-802-36</t>
  </si>
  <si>
    <t>BAGGY BELTED JEANS</t>
  </si>
  <si>
    <t>Baggy jeans. Self belt at waist. Front pockets and back patch pockets. Washed effect. Front button closure.</t>
  </si>
  <si>
    <t>https://www.zara.com/us/en/baggy-fit-jeans-p08062482.html</t>
  </si>
  <si>
    <t>315836999-406-34</t>
  </si>
  <si>
    <t>BAGGY FIT JEANS</t>
  </si>
  <si>
    <t>Baggy fit jeans. Five pockets. Washed effect. Front zip and button closure.</t>
  </si>
  <si>
    <t>https://www.zara.com/us/en/baggy-fit-jeans-p06688486.html</t>
  </si>
  <si>
    <t>315738965-802-34</t>
  </si>
  <si>
    <t>https://www.zara.com/us/en/flared-fit-cargo-jeans-p06688411.html</t>
  </si>
  <si>
    <t>311287318-400-38</t>
  </si>
  <si>
    <t>FLARED FIT CARGO JEANS</t>
  </si>
  <si>
    <t>Flared jeans. Patch pockets with flaps at hip. Patch pocket appliquÃ©s at legs. Washed effect. Adjustable hem with zippers. Front zipper and crossover button closure.</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</si>
  <si>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</si>
  <si>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</si>
  <si>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</si>
  <si>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</si>
  <si>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https://www.zara.com/us/en/denim-shirt-p06085371.html</t>
  </si>
  <si>
    <t>275600408-400-2</t>
  </si>
  <si>
    <t>DENIM SHIRT</t>
  </si>
  <si>
    <t>Relaxed fit shirt made of denim fabric. Lapel collar and short sleeves. Chest patch pocket. Washed effect. Front button closure.</t>
  </si>
  <si>
    <t>https://www.zara.com/us/en/ripped-straight-fit-jeans-p03991404.html</t>
  </si>
  <si>
    <t>311303003-407-38</t>
  </si>
  <si>
    <t>RIPPED STRAIGHT FIT JEANS</t>
  </si>
  <si>
    <t>Straight fit jeans. Five pockets. Washed effect with rips at legs. Front button closure.</t>
  </si>
  <si>
    <t>https://www.zara.com/us/en/textured-sweater-p02893403.html</t>
  </si>
  <si>
    <t>311307250-710-3</t>
  </si>
  <si>
    <t>TEXTURED SWEATER</t>
  </si>
  <si>
    <t>Sweater made of 30% wool thread. Round neck and long sleeves. Rib trim.</t>
  </si>
  <si>
    <t>https://www.zara.com/us/en/purl-knit-sweater-p03332300.html</t>
  </si>
  <si>
    <t>267195405-500-3</t>
  </si>
  <si>
    <t>PURL KNIT SWEATER</t>
  </si>
  <si>
    <t>High collar sweater with front zipper. Long sleeves. Rib trim.</t>
  </si>
  <si>
    <t>https://www.zara.com/us/en/braided-color-block-sweater-p03284412.html</t>
  </si>
  <si>
    <t>317894313-707-3</t>
  </si>
  <si>
    <t>BRAIDED COLOR BLOCK SWEATER</t>
  </si>
  <si>
    <t>Round neck long sleeve full cut sweater. Rib trim.</t>
  </si>
  <si>
    <t>https://www.zara.com/us/en/contrast-interior-sweater-p04696400.html</t>
  </si>
  <si>
    <t>315075917-803-2</t>
  </si>
  <si>
    <t>CONTRAST INTERIOR SWEATER</t>
  </si>
  <si>
    <t>Cotton blend sweater. Round neck and long sleeves. Contrast interior. Rib trim.</t>
  </si>
  <si>
    <t>https://www.zara.com/us/en/abstract-jacquard-sweater-p03284407.html</t>
  </si>
  <si>
    <t>317889153-700-3</t>
  </si>
  <si>
    <t>ABSTRACT JACQUARD SWEATER</t>
  </si>
  <si>
    <t>Full cut cotton knit sweater. Round neck and long sleeves. Rib trim.</t>
  </si>
  <si>
    <t>https://www.zara.com/us/en/basic-slim-fit-t-shirt-p05584361.html</t>
  </si>
  <si>
    <t>315241755-800-2</t>
  </si>
  <si>
    <t>BASIC SLIM FIT T-SHIRT</t>
  </si>
  <si>
    <t>Slim fit shirt. Round neck and short sleeves.</t>
  </si>
  <si>
    <t>t-shirts</t>
  </si>
  <si>
    <t>https://www.zara.com/us/en/cropped-washed-t-shirt-p03665403.html</t>
  </si>
  <si>
    <t>320326523-707-2</t>
  </si>
  <si>
    <t>CROPPED WASHED T-SHIRT</t>
  </si>
  <si>
    <t>Cropped fit T-shirt with round neck and short sleeves. Contrasting front and back prints. Washed effect.</t>
  </si>
  <si>
    <t>https://www.zara.com/us/en/basic-heavyweight-t-shirt-p01887450.html</t>
  </si>
  <si>
    <t>316715458-250-2</t>
  </si>
  <si>
    <t>BASIC HEAVYWEIGHT T-SHIRT</t>
  </si>
  <si>
    <t>Roomy T-shirt made of dense cotton. Round neck and short sleeves.</t>
  </si>
  <si>
    <t>https://www.zara.com/us/en/heart-print-t-shirt-p06224419.html</t>
  </si>
  <si>
    <t>322677489-800-2</t>
  </si>
  <si>
    <t>HEART PRINT T-SHIRT</t>
  </si>
  <si>
    <t>Boxy fit T-shirt with round neck and short sleeves. Contrasting prints at shoulder and back.</t>
  </si>
  <si>
    <t>https://www.zara.com/us/en/text-t-shirt-p00962458.html</t>
  </si>
  <si>
    <t>330077856-251-2</t>
  </si>
  <si>
    <t>TEXT T-SHIRT</t>
  </si>
  <si>
    <t>Boxy fit T-shirt. Round neck and short sleeves. Velvet effect print with contrast text.</t>
  </si>
  <si>
    <t>https://www.zara.com/us/en/printed-cropped-fit-shirt-limited-edition-p06224490.html</t>
  </si>
  <si>
    <t>328232452-898-2</t>
  </si>
  <si>
    <t>PRINTED CROPPED FIT SHIRT LIMITED EDITION</t>
  </si>
  <si>
    <t>Cropped shirt. Round neckline. Contrasting front print. Washed effect. Irregular trim.</t>
  </si>
  <si>
    <t>https://www.zara.com/us/en/ribbed-knit-t-shirt-p03332431.html</t>
  </si>
  <si>
    <t>317230892-251-3</t>
  </si>
  <si>
    <t>RIBBED KNIT T-SHIRT</t>
  </si>
  <si>
    <t>Cotton knit tank top. Round neck with front button closure. Rib trim.</t>
  </si>
  <si>
    <t>https://www.zara.com/us/en/oversize-fit-t-shirt-p04092405.html</t>
  </si>
  <si>
    <t>330478123-712-2</t>
  </si>
  <si>
    <t>OVERSIZE FIT T-SHIRT</t>
  </si>
  <si>
    <t>Oversized T-shirt. Round neck and short sleeves.</t>
  </si>
  <si>
    <t>https://www.zara.com/us/en/basic-medium-weight-t-shirt-p01887470.html</t>
  </si>
  <si>
    <t>318255748-250-2</t>
  </si>
  <si>
    <t>BASIC MEDIUM WEIGHT T-SHIRT</t>
  </si>
  <si>
    <t>Regular fit T-shirt. Round neck and short sleeves.</t>
  </si>
  <si>
    <t>https://www.zara.com/us/en/structured-text-t-shirt-p00761434.html</t>
  </si>
  <si>
    <t>319334069-712-2</t>
  </si>
  <si>
    <t>STRUCTURED TEXT T-SHIRT</t>
  </si>
  <si>
    <t>Full cut T-shirt made of mesh textured fabric. Contrast rib V-neckline and short sleeves. Front contrast printed text.</t>
  </si>
  <si>
    <t>https://www.zara.com/us/en/abstract-print-t-shirt-p06224403.html</t>
  </si>
  <si>
    <t>311307261-712-2</t>
  </si>
  <si>
    <t>ABSTRACT PRINT T-SHIRT</t>
  </si>
  <si>
    <t>Full cut T-shirt with crew neck and short sleeves. Contrasting front and back prints. Washed effect.</t>
  </si>
  <si>
    <t>https://www.zara.com/us/en/raised-text-t-shirt-limited-edition-p00977490.html</t>
  </si>
  <si>
    <t>323216369-922-2</t>
  </si>
  <si>
    <t>RAISED TEXT T-SHIRT LIMITED EDITION</t>
  </si>
  <si>
    <t>Full cut T-shirt with round neck and short sleeves. Front tonal raised text. Washed effect.</t>
  </si>
  <si>
    <t>https://www.zara.com/us/en/ribbed-knit-t-shirt-p04805409.html</t>
  </si>
  <si>
    <t>320111404-428-2</t>
  </si>
  <si>
    <t>Cropped fit knit shirt. Round neck and long sleeves. Washed effect.</t>
  </si>
  <si>
    <t>https://www.zara.com/us/en/semi-sheer-knit-shirt-limited-edition-p04805424.html</t>
  </si>
  <si>
    <t>328232445-800-2</t>
  </si>
  <si>
    <t>SEMI-SHEER KNIT SHIRT LIMITED EDITION</t>
  </si>
  <si>
    <t>Slim fit shirt made of wrinkle effect fabric. Round neck and long sleeves.</t>
  </si>
  <si>
    <t>https://www.zara.com/us/en/viscose-blend-knit-t-shirt-p00693401.html</t>
  </si>
  <si>
    <t>311297550-251-2</t>
  </si>
  <si>
    <t>VISCOSE BLEND KNIT T-SHIRT</t>
  </si>
  <si>
    <t>Knit shirt in viscose blend fabric. Mock neck and short sleeves. Rib trim.</t>
  </si>
  <si>
    <t>https://www.zara.com/us/en/striped-jacquard-t-shirt-p05372400.html</t>
  </si>
  <si>
    <t>322909502-819-2</t>
  </si>
  <si>
    <t>STRIPED JACQUARD T-SHIRT</t>
  </si>
  <si>
    <t>Relaxed fit T-shirt with round neck and short sleeves.</t>
  </si>
  <si>
    <t>https://www.zara.com/us/en/abstract-print-knit-t-shirt-p04805401.html</t>
  </si>
  <si>
    <t>320071210-802-2</t>
  </si>
  <si>
    <t>ABSTRACT PRINT KNIT T-SHIRT</t>
  </si>
  <si>
    <t>Cotton knit T-shirt. Round neck and short sleeves.</t>
  </si>
  <si>
    <t>https://www.zara.com/us/en/structured-text-t-shirt-p00761435.html</t>
  </si>
  <si>
    <t>319334070-401-2</t>
  </si>
  <si>
    <t>Interactive dashboard</t>
  </si>
  <si>
    <t>Total Sales</t>
  </si>
  <si>
    <t>Total Sales Volume</t>
  </si>
  <si>
    <t>Average Product price</t>
  </si>
  <si>
    <t>Number Of Products</t>
  </si>
  <si>
    <t>max</t>
  </si>
  <si>
    <t>min</t>
  </si>
  <si>
    <t>best seller</t>
  </si>
  <si>
    <t>average</t>
  </si>
  <si>
    <t>slow seller</t>
  </si>
  <si>
    <t>Most Sold Product</t>
  </si>
  <si>
    <t>PLAID TIE DIE OVERSHIRT</t>
  </si>
  <si>
    <t xml:space="preserve">Bestselling Product </t>
  </si>
  <si>
    <t>Row Labels</t>
  </si>
  <si>
    <t>Grand Total</t>
  </si>
  <si>
    <t>Sum of Sales</t>
  </si>
  <si>
    <t>Sum of Sales Volume</t>
  </si>
  <si>
    <t>Average of price(USD)</t>
  </si>
  <si>
    <t>Count of Product ID</t>
  </si>
  <si>
    <t>Mid Range</t>
  </si>
  <si>
    <t>Column Labels</t>
  </si>
  <si>
    <t>Average</t>
  </si>
  <si>
    <t>Best Seller</t>
  </si>
  <si>
    <t>Slow seller</t>
  </si>
  <si>
    <t>sales volume category</t>
  </si>
  <si>
    <t>Count of Column1</t>
  </si>
  <si>
    <t>Zara Retail Product Performance Dashboard</t>
  </si>
  <si>
    <t>Categories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</si>
</sst>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300A]#,##0"/>
    <numFmt numFmtId="165" formatCode="[$$-409]#,##0.00"/>
  </numFmts>
  <fonts count="13">
    <font>
      <sz val="11"/>
      <color theme="1"/>
      <name val="Calibri"/>
      <charset val="134"/>
      <scheme val="minor"/>
    </font>
    <font>
      <sz val="11"/>
      <color theme="1"/>
      <name val="Calibri"/>
      <family val="2"/>
      <scheme val="minor"/>
    </font>
    <font>
      <sz val="11"/>
      <color theme="1"/>
      <name val="Calibri"/>
      <family val="2"/>
      <scheme val="minor"/>
    </font>
    <font>
      <u/>
      <sz val="11"/>
      <color theme="10"/>
      <name val="Calibri"/>
      <charset val="134"/>
      <scheme val="minor"/>
    </font>
    <font>
      <sz val="11"/>
      <color theme="1"/>
      <name val="Bodoni MT"/>
      <family val="1"/>
    </font>
    <font>
      <b/>
      <sz val="11"/>
      <color theme="0"/>
      <name val="Calibri"/>
      <family val="2"/>
      <scheme val="minor"/>
    </font>
    <font>
      <b/>
      <sz val="10"/>
      <color theme="1"/>
      <name val="Bodoni MT"/>
      <family val="1"/>
    </font>
    <font>
      <sz val="10"/>
      <color theme="1"/>
      <name val="Bodoni MT"/>
      <family val="1"/>
    </font>
    <font>
      <sz val="10"/>
      <color theme="1"/>
      <name val="Calibri"/>
      <family val="2"/>
      <scheme val="minor"/>
    </font>
    <font>
      <b/>
      <u/>
      <sz val="10"/>
      <color theme="1"/>
      <name val="Bodoni MT"/>
      <family val="1"/>
    </font>
    <font>
      <b/>
      <sz val="22"/>
      <color theme="0"/>
      <name val="Bodoni MT"/>
      <family val="1"/>
    </font>
    <font>
      <b/>
      <sz val="10"/>
      <name val="Bodoni MT"/>
      <family val="1"/>
    </font>
    <font>
      <b/>
      <u/>
      <sz val="10"/>
      <name val="Bodoni MT"/>
      <family val="1"/>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FFCC"/>
        <bgColor indexed="64"/>
      </patternFill>
    </fill>
  </fills>
  <borders count="7">
    <border>
      <left/>
      <right/>
      <top/>
      <bottom/>
      <diagonal/>
    </border>
    <border>
      <left style="thin">
        <color rgb="FFFFC000"/>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style="thin">
        <color rgb="FFFFC000"/>
      </right>
      <top/>
      <bottom style="thin">
        <color rgb="FFFFC000"/>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0" fillId="0" borderId="0" xfId="1" applyFont="1"/>
    <xf numFmtId="0" fontId="2" fillId="0" borderId="0" xfId="0" applyFont="1"/>
    <xf numFmtId="0" fontId="3" fillId="0" borderId="0" xfId="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8" fillId="0" borderId="0" xfId="0" applyFont="1"/>
    <xf numFmtId="165" fontId="9" fillId="2" borderId="3" xfId="0" applyNumberFormat="1" applyFont="1" applyFill="1" applyBorder="1" applyAlignment="1">
      <alignment horizontal="center" vertical="center"/>
    </xf>
    <xf numFmtId="165" fontId="9" fillId="2" borderId="4" xfId="0" applyNumberFormat="1" applyFont="1" applyFill="1" applyBorder="1" applyAlignment="1">
      <alignment horizontal="center" vertical="center"/>
    </xf>
    <xf numFmtId="165" fontId="9" fillId="2" borderId="5" xfId="0" applyNumberFormat="1" applyFont="1" applyFill="1" applyBorder="1" applyAlignment="1">
      <alignment horizontal="center" vertical="center"/>
    </xf>
    <xf numFmtId="165" fontId="9" fillId="2" borderId="6" xfId="0" applyNumberFormat="1"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3" xfId="1" applyFont="1" applyFill="1" applyBorder="1" applyAlignment="1">
      <alignment horizontal="center" vertical="center" wrapText="1"/>
    </xf>
    <xf numFmtId="0" fontId="9" fillId="2" borderId="4" xfId="1" applyFont="1" applyFill="1" applyBorder="1" applyAlignment="1">
      <alignment horizontal="center" vertical="center" wrapText="1"/>
    </xf>
    <xf numFmtId="0" fontId="9" fillId="2" borderId="5" xfId="1" applyFont="1" applyFill="1" applyBorder="1" applyAlignment="1">
      <alignment horizontal="center" vertical="center" wrapText="1"/>
    </xf>
    <xf numFmtId="0" fontId="9" fillId="2" borderId="6" xfId="1" applyFont="1" applyFill="1" applyBorder="1" applyAlignment="1">
      <alignment horizontal="center" vertical="center" wrapText="1"/>
    </xf>
    <xf numFmtId="3" fontId="9" fillId="2" borderId="3" xfId="0" applyNumberFormat="1" applyFont="1" applyFill="1" applyBorder="1" applyAlignment="1">
      <alignment horizontal="center" vertical="center"/>
    </xf>
    <xf numFmtId="3" fontId="9" fillId="2" borderId="4" xfId="0" applyNumberFormat="1" applyFont="1" applyFill="1" applyBorder="1" applyAlignment="1">
      <alignment horizontal="center" vertical="center"/>
    </xf>
    <xf numFmtId="3" fontId="9" fillId="2" borderId="5" xfId="0" applyNumberFormat="1" applyFont="1" applyFill="1" applyBorder="1" applyAlignment="1">
      <alignment horizontal="center" vertical="center"/>
    </xf>
    <xf numFmtId="3" fontId="9" fillId="2" borderId="6" xfId="0" applyNumberFormat="1" applyFont="1" applyFill="1" applyBorder="1" applyAlignment="1">
      <alignment horizontal="center" vertical="center"/>
    </xf>
    <xf numFmtId="0" fontId="10" fillId="3" borderId="0" xfId="0" applyFont="1" applyFill="1" applyAlignment="1">
      <alignment horizontal="center"/>
    </xf>
    <xf numFmtId="0" fontId="5" fillId="3" borderId="0" xfId="0" applyFont="1" applyFill="1" applyAlignment="1">
      <alignment horizontal="center"/>
    </xf>
    <xf numFmtId="0" fontId="4" fillId="4" borderId="0" xfId="0" applyFont="1" applyFill="1"/>
    <xf numFmtId="0" fontId="7" fillId="4" borderId="0" xfId="0" applyFont="1" applyFill="1"/>
    <xf numFmtId="0" fontId="6" fillId="4" borderId="0" xfId="0" applyFont="1" applyFill="1"/>
    <xf numFmtId="0" fontId="0" fillId="4" borderId="0" xfId="0" applyFill="1"/>
    <xf numFmtId="0" fontId="9" fillId="4" borderId="0" xfId="0" applyFont="1" applyFill="1" applyAlignment="1">
      <alignment horizontal="center" vertical="center"/>
    </xf>
    <xf numFmtId="0" fontId="9" fillId="4" borderId="0" xfId="0" applyFont="1" applyFill="1" applyBorder="1" applyAlignment="1">
      <alignment horizontal="center" vertical="center"/>
    </xf>
    <xf numFmtId="0" fontId="8" fillId="4" borderId="0" xfId="0" applyFont="1" applyFill="1"/>
    <xf numFmtId="0" fontId="7" fillId="4" borderId="0" xfId="0" applyFont="1" applyFill="1" applyAlignment="1">
      <alignment horizontal="center" vertical="center"/>
    </xf>
    <xf numFmtId="0" fontId="4" fillId="4" borderId="0" xfId="0" applyFont="1" applyFill="1" applyBorder="1"/>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164" fontId="12" fillId="2" borderId="3" xfId="0" applyNumberFormat="1" applyFont="1" applyFill="1" applyBorder="1" applyAlignment="1">
      <alignment horizontal="center" vertical="center"/>
    </xf>
    <xf numFmtId="164" fontId="12" fillId="2" borderId="4" xfId="0" applyNumberFormat="1" applyFont="1" applyFill="1" applyBorder="1" applyAlignment="1">
      <alignment horizontal="center" vertical="center"/>
    </xf>
    <xf numFmtId="164" fontId="12" fillId="2" borderId="5" xfId="0" applyNumberFormat="1" applyFont="1" applyFill="1" applyBorder="1" applyAlignment="1">
      <alignment horizontal="center" vertical="center"/>
    </xf>
    <xf numFmtId="164" fontId="12" fillId="2" borderId="6" xfId="0" applyNumberFormat="1" applyFont="1" applyFill="1" applyBorder="1" applyAlignment="1">
      <alignment horizontal="center" vertical="center"/>
    </xf>
  </cellXfs>
  <cellStyles count="2">
    <cellStyle name="Hyperlink" xfId="1" builtinId="8"/>
    <cellStyle name="Normal" xfId="0" builtinId="0"/>
  </cellStyles>
  <dxfs count="23">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CC"/>
      <color rgb="FFFFFF99"/>
      <color rgb="FF66FFFF"/>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[zara (Recovered).xlsx]Pivot tables!PivotTable6</c:name>
    <c:fmtId val="0"/>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b="0">
                <a:latin typeface="+mn-lt"/>
              </a:rPr>
              <a:t>Revenue Contribution by Product Category</a:t>
            </a:r>
          </a:p>
        </c:rich>
      </c:tx>
      <c:layout/>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autoTitleDeleted val="0"/>
    <c:pivotFmts>
      <c:pivotFmt>
        <c:idx val="0"/>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tables'!$A$14:$A$19</c:f>
              <c:strCache>
                <c:ptCount val="5"/>
                <c:pt idx="0">
                  <c:v>jackets</c:v>
                </c:pt>
                <c:pt idx="1">
                  <c:v>jeans</c:v>
                </c:pt>
                <c:pt idx="2">
                  <c:v>shoes</c:v>
                </c:pt>
                <c:pt idx="3">
                  <c:v>sweaters</c:v>
                </c:pt>
                <c:pt idx="4">
                  <c:v>t-shirts</c:v>
                </c:pt>
              </c:strCache>
            </c:strRef>
          </c:cat>
          <c:val>
            <c:numRef>
              <c:f>'Pivot tables'!$B$14:$B$19</c:f>
              <c:numCache>
                <c:formatCode>General</c:formatCode>
                <c:ptCount val="5"/>
                <c:pt idx="0">
                  <c:v>26581815.869999994</c:v>
                </c:pt>
                <c:pt idx="1">
                  <c:v>864385.24999999988</c:v>
                </c:pt>
                <c:pt idx="2">
                  <c:v>3754837.6300000004</c:v>
                </c:pt>
                <c:pt idx="3">
                  <c:v>4090631.4799999995</c:v>
                </c:pt>
                <c:pt idx="4">
                  <c:v>3696806.25</c:v>
                </c:pt>
              </c:numCache>
            </c:numRef>
          </c:val>
        </c:ser>
        <c:dLbls>
          <c:showLegendKey val="0"/>
          <c:showVal val="0"/>
          <c:showCatName val="0"/>
          <c:showSerName val="0"/>
          <c:showPercent val="0"/>
          <c:showBubbleSize val="0"/>
        </c:dLbls>
        <c:gapWidth val="100"/>
        <c:overlap val="-24"/>
        <c:axId val="328082088"/>
        <c:axId val="328085224"/>
      </c:barChart>
      <c:catAx>
        <c:axId val="3280820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j-lt"/>
                <a:ea typeface="+mn-ea"/>
                <a:cs typeface="+mn-cs"/>
              </a:defRPr>
            </a:pPr>
            <a:endParaRPr lang="en-US"/>
          </a:p>
        </c:txPr>
        <c:crossAx val="328085224"/>
        <c:crosses val="autoZero"/>
        <c:auto val="1"/>
        <c:lblAlgn val="ctr"/>
        <c:lblOffset val="100"/>
        <c:noMultiLvlLbl val="0"/>
      </c:catAx>
      <c:valAx>
        <c:axId val="3280852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j-lt"/>
                <a:ea typeface="+mn-ea"/>
                <a:cs typeface="+mn-cs"/>
              </a:defRPr>
            </a:pPr>
            <a:endParaRPr lang="en-US"/>
          </a:p>
        </c:txPr>
        <c:crossAx val="328082088"/>
        <c:crosses val="autoZero"/>
        <c:crossBetween val="between"/>
      </c:valAx>
      <c:spPr>
        <a:noFill/>
        <a:ln>
          <a:noFill/>
        </a:ln>
        <a:effectLst/>
      </c:spPr>
    </c:plotArea>
    <c:plotVisOnly val="1"/>
    <c:dispBlanksAs val="gap"/>
    <c:showDLblsOverMax val="0"/>
  </c:chart>
  <c:spPr>
    <a:solidFill>
      <a:schemeClr val="lt1"/>
    </a:solidFill>
    <a:ln w="12700" cap="flat" cmpd="sng" algn="ctr">
      <a:solidFill>
        <a:schemeClr val="accent4"/>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[zara (Recovered).xlsx]Pivot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Volume by product position</a:t>
            </a:r>
          </a:p>
        </c:rich>
      </c:tx>
      <c:layout>
        <c:manualLayout>
          <c:xMode val="edge"/>
          <c:yMode val="edge"/>
          <c:x val="0.16454717760867543"/>
          <c:y val="3.12167528268162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4"/>
          </a:solidFill>
          <a:ln>
            <a:noFill/>
          </a:ln>
          <a:effectLst/>
        </c:spPr>
      </c:pivotFmt>
      <c:pivotFmt>
        <c:idx val="2"/>
        <c:spPr>
          <a:solidFill>
            <a:schemeClr val="accent4"/>
          </a:solidFill>
          <a:ln>
            <a:noFill/>
          </a:ln>
          <a:effectLst/>
        </c:spPr>
      </c:pivotFmt>
      <c:pivotFmt>
        <c:idx val="3"/>
        <c:spPr>
          <a:solidFill>
            <a:schemeClr val="accent4"/>
          </a:solidFill>
          <a:ln>
            <a:noFill/>
          </a:ln>
          <a:effectLst/>
        </c:spPr>
      </c:pivotFmt>
    </c:pivotFmts>
    <c:plotArea>
      <c:layout/>
      <c:pieChart>
        <c:varyColors val="1"/>
        <c:ser>
          <c:idx val="0"/>
          <c:order val="0"/>
          <c:tx>
            <c:strRef>
              <c:f>'Pivot tables'!$B$21</c:f>
              <c:strCache>
                <c:ptCount val="1"/>
                <c:pt idx="0">
                  <c:v>Total</c:v>
                </c:pt>
              </c:strCache>
            </c:strRef>
          </c:tx>
          <c:dPt>
            <c:idx val="0"/>
            <c:bubble3D val="0"/>
            <c:spPr>
              <a:solidFill>
                <a:schemeClr val="accent4">
                  <a:shade val="65000"/>
                </a:schemeClr>
              </a:solidFill>
              <a:ln>
                <a:noFill/>
              </a:ln>
              <a:effectLst/>
            </c:spPr>
          </c:dPt>
          <c:dPt>
            <c:idx val="1"/>
            <c:bubble3D val="0"/>
            <c:spPr>
              <a:solidFill>
                <a:schemeClr val="accent4"/>
              </a:solidFill>
              <a:ln>
                <a:noFill/>
              </a:ln>
              <a:effectLst/>
            </c:spPr>
          </c:dPt>
          <c:dPt>
            <c:idx val="2"/>
            <c:bubble3D val="0"/>
            <c:spPr>
              <a:solidFill>
                <a:schemeClr val="accent4">
                  <a:tint val="65000"/>
                </a:schemeClr>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tables'!$A$22:$A$25</c:f>
              <c:strCache>
                <c:ptCount val="3"/>
                <c:pt idx="0">
                  <c:v>Aisle</c:v>
                </c:pt>
                <c:pt idx="1">
                  <c:v>End-cap</c:v>
                </c:pt>
                <c:pt idx="2">
                  <c:v>Front of Store</c:v>
                </c:pt>
              </c:strCache>
            </c:strRef>
          </c:cat>
          <c:val>
            <c:numRef>
              <c:f>'Pivot tables'!$B$22:$B$25</c:f>
              <c:numCache>
                <c:formatCode>General</c:formatCode>
                <c:ptCount val="3"/>
                <c:pt idx="0">
                  <c:v>177396</c:v>
                </c:pt>
                <c:pt idx="1">
                  <c:v>152930</c:v>
                </c:pt>
                <c:pt idx="2">
                  <c:v>129247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accent4"/>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[zara (Recovered).xlsx]Pivot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No Promotion vs Promotion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4"/>
          </a:solidFill>
          <a:ln>
            <a:noFill/>
          </a:ln>
          <a:effectLst/>
        </c:spPr>
      </c:pivotFmt>
      <c:pivotFmt>
        <c:idx val="2"/>
        <c:spPr>
          <a:solidFill>
            <a:schemeClr val="accent4"/>
          </a:solidFill>
          <a:ln>
            <a:noFill/>
          </a:ln>
          <a:effectLst/>
        </c:spPr>
      </c:pivotFmt>
    </c:pivotFmts>
    <c:plotArea>
      <c:layout/>
      <c:doughnutChart>
        <c:varyColors val="1"/>
        <c:ser>
          <c:idx val="0"/>
          <c:order val="0"/>
          <c:tx>
            <c:strRef>
              <c:f>'Pivot tables'!$B$27</c:f>
              <c:strCache>
                <c:ptCount val="1"/>
                <c:pt idx="0">
                  <c:v>Total</c:v>
                </c:pt>
              </c:strCache>
            </c:strRef>
          </c:tx>
          <c:dPt>
            <c:idx val="0"/>
            <c:bubble3D val="0"/>
            <c:spPr>
              <a:solidFill>
                <a:schemeClr val="accent4">
                  <a:shade val="76000"/>
                </a:schemeClr>
              </a:solidFill>
              <a:ln>
                <a:noFill/>
              </a:ln>
              <a:effectLst/>
            </c:spPr>
          </c:dPt>
          <c:dPt>
            <c:idx val="1"/>
            <c:bubble3D val="0"/>
            <c:spPr>
              <a:solidFill>
                <a:schemeClr val="accent4">
                  <a:tint val="77000"/>
                </a:schemeClr>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tables'!$A$28:$A$30</c:f>
              <c:strCache>
                <c:ptCount val="2"/>
                <c:pt idx="0">
                  <c:v>No</c:v>
                </c:pt>
                <c:pt idx="1">
                  <c:v>Yes</c:v>
                </c:pt>
              </c:strCache>
            </c:strRef>
          </c:cat>
          <c:val>
            <c:numRef>
              <c:f>'Pivot tables'!$B$28:$B$30</c:f>
              <c:numCache>
                <c:formatCode>General</c:formatCode>
                <c:ptCount val="2"/>
                <c:pt idx="0">
                  <c:v>18994089.579999998</c:v>
                </c:pt>
                <c:pt idx="1">
                  <c:v>19994386.899999991</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accent4"/>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[zara (Recovered).xlsx]Pivot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Volume by Categories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s>
    <c:plotArea>
      <c:layout/>
      <c:barChart>
        <c:barDir val="bar"/>
        <c:grouping val="clustered"/>
        <c:varyColors val="0"/>
        <c:ser>
          <c:idx val="0"/>
          <c:order val="0"/>
          <c:tx>
            <c:strRef>
              <c:f>'Pivot tables'!$B$32</c:f>
              <c:strCache>
                <c:ptCount val="1"/>
                <c:pt idx="0">
                  <c:v>Total</c:v>
                </c:pt>
              </c:strCache>
            </c:strRef>
          </c:tx>
          <c:spPr>
            <a:solidFill>
              <a:schemeClr val="accent4"/>
            </a:solidFill>
            <a:ln>
              <a:noFill/>
            </a:ln>
            <a:effectLst/>
          </c:spPr>
          <c:invertIfNegative val="0"/>
          <c:cat>
            <c:strRef>
              <c:f>'Pivot tables'!$A$33:$A$38</c:f>
              <c:strCache>
                <c:ptCount val="5"/>
                <c:pt idx="0">
                  <c:v>jackets</c:v>
                </c:pt>
                <c:pt idx="1">
                  <c:v>jeans</c:v>
                </c:pt>
                <c:pt idx="2">
                  <c:v>shoes</c:v>
                </c:pt>
                <c:pt idx="3">
                  <c:v>sweaters</c:v>
                </c:pt>
                <c:pt idx="4">
                  <c:v>t-shirts</c:v>
                </c:pt>
              </c:strCache>
            </c:strRef>
          </c:cat>
          <c:val>
            <c:numRef>
              <c:f>'Pivot tables'!$B$33:$B$38</c:f>
              <c:numCache>
                <c:formatCode>General</c:formatCode>
                <c:ptCount val="5"/>
                <c:pt idx="0">
                  <c:v>259468</c:v>
                </c:pt>
                <c:pt idx="1">
                  <c:v>13320</c:v>
                </c:pt>
                <c:pt idx="2">
                  <c:v>57906</c:v>
                </c:pt>
                <c:pt idx="3">
                  <c:v>75242</c:v>
                </c:pt>
                <c:pt idx="4">
                  <c:v>53637</c:v>
                </c:pt>
              </c:numCache>
            </c:numRef>
          </c:val>
        </c:ser>
        <c:dLbls>
          <c:showLegendKey val="0"/>
          <c:showVal val="0"/>
          <c:showCatName val="0"/>
          <c:showSerName val="0"/>
          <c:showPercent val="0"/>
          <c:showBubbleSize val="0"/>
        </c:dLbls>
        <c:gapWidth val="219"/>
        <c:axId val="328081304"/>
        <c:axId val="332120984"/>
      </c:barChart>
      <c:catAx>
        <c:axId val="328081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2120984"/>
        <c:crosses val="autoZero"/>
        <c:auto val="1"/>
        <c:lblAlgn val="ctr"/>
        <c:lblOffset val="100"/>
        <c:noMultiLvlLbl val="0"/>
      </c:catAx>
      <c:valAx>
        <c:axId val="332120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28081304"/>
        <c:crosses val="autoZero"/>
        <c:crossBetween val="between"/>
      </c:valAx>
      <c:spPr>
        <a:noFill/>
        <a:ln>
          <a:noFill/>
        </a:ln>
        <a:effectLst/>
      </c:spPr>
    </c:plotArea>
    <c:plotVisOnly val="1"/>
    <c:dispBlanksAs val="gap"/>
    <c:showDLblsOverMax val="0"/>
  </c:chart>
  <c:spPr>
    <a:solidFill>
      <a:schemeClr val="lt1"/>
    </a:solidFill>
    <a:ln w="12700" cap="flat" cmpd="sng" algn="ctr">
      <a:solidFill>
        <a:schemeClr val="accent4"/>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[zara (Recovered).xlsx]Pivot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product volume and price range categorical</a:t>
            </a:r>
          </a:p>
          <a:p>
            <a:pPr>
              <a:defRPr>
                <a:solidFill>
                  <a:schemeClr val="dk1"/>
                </a:solidFill>
                <a:latin typeface="+mn-lt"/>
                <a:ea typeface="+mn-ea"/>
                <a:cs typeface="+mn-cs"/>
              </a:defRPr>
            </a:pPr>
            <a:r>
              <a:rPr lang="en-IN">
                <a:solidFill>
                  <a:schemeClr val="dk1"/>
                </a:solidFill>
                <a:latin typeface="+mn-lt"/>
                <a:ea typeface="+mn-ea"/>
                <a:cs typeface="+mn-cs"/>
              </a:rPr>
              <a:t> comparison</a:t>
            </a:r>
            <a:endParaRPr lang="en-IN"/>
          </a:p>
        </c:rich>
      </c:tx>
      <c:layout>
        <c:manualLayout>
          <c:xMode val="edge"/>
          <c:yMode val="edge"/>
          <c:x val="0.14809505571397519"/>
          <c:y val="2.777766526892092E-2"/>
        </c:manualLayout>
      </c:layout>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w="25400">
            <a:noFill/>
          </a:ln>
          <a:effectLst/>
        </c:spPr>
        <c:marker>
          <c:symbol val="none"/>
        </c:marker>
      </c:pivotFmt>
      <c:pivotFmt>
        <c:idx val="2"/>
        <c:spPr>
          <a:solidFill>
            <a:schemeClr val="accent4"/>
          </a:solidFill>
          <a:ln w="25400">
            <a:noFill/>
          </a:ln>
          <a:effectLst/>
        </c:spPr>
        <c:marker>
          <c:symbol val="none"/>
        </c:marker>
      </c:pivotFmt>
      <c:pivotFmt>
        <c:idx val="3"/>
        <c:spPr>
          <a:solidFill>
            <a:schemeClr val="accent4"/>
          </a:solidFill>
          <a:ln w="25400">
            <a:noFill/>
          </a:ln>
          <a:effectLst/>
        </c:spPr>
        <c:marker>
          <c:symbol val="none"/>
        </c:marker>
      </c:pivotFmt>
      <c:pivotFmt>
        <c:idx val="4"/>
        <c:spPr>
          <a:solidFill>
            <a:schemeClr val="accent4"/>
          </a:solidFill>
          <a:ln w="25400">
            <a:noFill/>
          </a:ln>
          <a:effectLst/>
        </c:spPr>
        <c:marker>
          <c:symbol val="none"/>
        </c:marker>
      </c:pivotFmt>
      <c:pivotFmt>
        <c:idx val="5"/>
        <c:spPr>
          <a:solidFill>
            <a:schemeClr val="accent4"/>
          </a:solidFill>
          <a:ln w="25400">
            <a:noFill/>
          </a:ln>
          <a:effectLst/>
        </c:spPr>
        <c:marker>
          <c:symbol val="none"/>
        </c:marker>
      </c:pivotFmt>
      <c:pivotFmt>
        <c:idx val="6"/>
        <c:spPr>
          <a:solidFill>
            <a:schemeClr val="accent4"/>
          </a:solidFill>
          <a:ln w="25400">
            <a:noFill/>
          </a:ln>
          <a:effectLst/>
        </c:spPr>
        <c:marker>
          <c:symbol val="none"/>
        </c:marker>
      </c:pivotFmt>
      <c:pivotFmt>
        <c:idx val="7"/>
        <c:spPr>
          <a:solidFill>
            <a:schemeClr val="accent4"/>
          </a:solidFill>
          <a:ln w="25400">
            <a:noFill/>
          </a:ln>
          <a:effectLst/>
        </c:spPr>
        <c:marker>
          <c:symbol val="none"/>
        </c:marker>
      </c:pivotFmt>
      <c:pivotFmt>
        <c:idx val="8"/>
        <c:spPr>
          <a:solidFill>
            <a:schemeClr val="accent4"/>
          </a:solidFill>
          <a:ln w="25400">
            <a:noFill/>
          </a:ln>
          <a:effectLst/>
        </c:spPr>
        <c:marker>
          <c:symbol val="none"/>
        </c:marker>
      </c:pivotFmt>
      <c:pivotFmt>
        <c:idx val="9"/>
        <c:spPr>
          <a:solidFill>
            <a:schemeClr val="accent4"/>
          </a:solidFill>
          <a:ln w="25400">
            <a:noFill/>
          </a:ln>
          <a:effectLst/>
        </c:spPr>
        <c:marker>
          <c:symbol val="none"/>
        </c:marker>
      </c:pivotFmt>
      <c:pivotFmt>
        <c:idx val="10"/>
        <c:spPr>
          <a:solidFill>
            <a:schemeClr val="accent4"/>
          </a:solidFill>
          <a:ln w="25400">
            <a:noFill/>
          </a:ln>
          <a:effectLst/>
        </c:spPr>
        <c:marker>
          <c:symbol val="none"/>
        </c:marker>
      </c:pivotFmt>
      <c:pivotFmt>
        <c:idx val="11"/>
        <c:spPr>
          <a:solidFill>
            <a:schemeClr val="accent4"/>
          </a:solidFill>
          <a:ln w="25400">
            <a:noFill/>
          </a:ln>
          <a:effectLst/>
        </c:spPr>
        <c:marker>
          <c:symbol val="none"/>
        </c:marker>
      </c:pivotFmt>
      <c:pivotFmt>
        <c:idx val="12"/>
        <c:spPr>
          <a:solidFill>
            <a:schemeClr val="accent4"/>
          </a:solidFill>
          <a:ln w="25400">
            <a:noFill/>
          </a:ln>
          <a:effectLst/>
        </c:spPr>
        <c:marker>
          <c:symbol val="none"/>
        </c:marker>
      </c:pivotFmt>
      <c:pivotFmt>
        <c:idx val="13"/>
        <c:spPr>
          <a:solidFill>
            <a:schemeClr val="accent4"/>
          </a:solidFill>
          <a:ln w="25400">
            <a:noFill/>
          </a:ln>
          <a:effectLst/>
        </c:spPr>
        <c:marker>
          <c:symbol val="none"/>
        </c:marker>
      </c:pivotFmt>
      <c:pivotFmt>
        <c:idx val="14"/>
        <c:spPr>
          <a:solidFill>
            <a:schemeClr val="accent4"/>
          </a:solidFill>
          <a:ln w="25400">
            <a:noFill/>
          </a:ln>
          <a:effectLst/>
        </c:spPr>
        <c:marker>
          <c:symbol val="none"/>
        </c:marker>
      </c:pivotFmt>
      <c:pivotFmt>
        <c:idx val="15"/>
        <c:spPr>
          <a:solidFill>
            <a:schemeClr val="accent4"/>
          </a:solidFill>
          <a:ln w="25400">
            <a:noFill/>
          </a:ln>
          <a:effectLst/>
        </c:spPr>
        <c:marker>
          <c:symbol val="none"/>
        </c:marker>
      </c:pivotFmt>
      <c:pivotFmt>
        <c:idx val="16"/>
        <c:spPr>
          <a:solidFill>
            <a:schemeClr val="accent4"/>
          </a:solidFill>
          <a:ln w="25400">
            <a:noFill/>
          </a:ln>
          <a:effectLst/>
        </c:spPr>
        <c:marker>
          <c:symbol val="none"/>
        </c:marker>
      </c:pivotFmt>
      <c:pivotFmt>
        <c:idx val="17"/>
        <c:spPr>
          <a:solidFill>
            <a:schemeClr val="accent4"/>
          </a:solidFill>
          <a:ln w="25400">
            <a:noFill/>
          </a:ln>
          <a:effectLst/>
        </c:spPr>
        <c:marker>
          <c:symbol val="none"/>
        </c:marker>
      </c:pivotFmt>
      <c:pivotFmt>
        <c:idx val="18"/>
        <c:spPr>
          <a:solidFill>
            <a:schemeClr val="accent4"/>
          </a:solidFill>
          <a:ln w="25400">
            <a:noFill/>
          </a:ln>
          <a:effectLst/>
        </c:spPr>
        <c:marker>
          <c:symbol val="none"/>
        </c:marker>
      </c:pivotFmt>
      <c:pivotFmt>
        <c:idx val="19"/>
        <c:spPr>
          <a:solidFill>
            <a:schemeClr val="accent4"/>
          </a:solidFill>
          <a:ln w="25400">
            <a:noFill/>
          </a:ln>
          <a:effectLst/>
        </c:spPr>
        <c:marker>
          <c:symbol val="none"/>
        </c:marker>
      </c:pivotFmt>
      <c:pivotFmt>
        <c:idx val="20"/>
        <c:spPr>
          <a:solidFill>
            <a:schemeClr val="accent4"/>
          </a:solidFill>
          <a:ln w="25400">
            <a:noFill/>
          </a:ln>
          <a:effectLst/>
        </c:spPr>
        <c:marker>
          <c:symbol val="none"/>
        </c:marker>
      </c:pivotFmt>
      <c:pivotFmt>
        <c:idx val="21"/>
        <c:spPr>
          <a:solidFill>
            <a:schemeClr val="accent4"/>
          </a:solidFill>
          <a:ln w="25400">
            <a:noFill/>
          </a:ln>
          <a:effectLst/>
        </c:spPr>
        <c:marker>
          <c:symbol val="none"/>
        </c:marker>
      </c:pivotFmt>
      <c:pivotFmt>
        <c:idx val="22"/>
        <c:spPr>
          <a:solidFill>
            <a:schemeClr val="accent4"/>
          </a:solidFill>
          <a:ln w="25400">
            <a:noFill/>
          </a:ln>
          <a:effectLst/>
        </c:spPr>
        <c:marker>
          <c:symbol val="none"/>
        </c:marker>
      </c:pivotFmt>
      <c:pivotFmt>
        <c:idx val="23"/>
        <c:spPr>
          <a:solidFill>
            <a:schemeClr val="accent4"/>
          </a:solidFill>
          <a:ln w="25400">
            <a:noFill/>
          </a:ln>
          <a:effectLst/>
        </c:spPr>
        <c:marker>
          <c:symbol val="none"/>
        </c:marker>
      </c:pivotFmt>
      <c:pivotFmt>
        <c:idx val="24"/>
        <c:spPr>
          <a:solidFill>
            <a:schemeClr val="accent4"/>
          </a:solidFill>
          <a:ln w="25400">
            <a:noFill/>
          </a:ln>
          <a:effectLst/>
        </c:spPr>
        <c:marker>
          <c:symbol val="none"/>
        </c:marker>
      </c:pivotFmt>
      <c:pivotFmt>
        <c:idx val="25"/>
        <c:spPr>
          <a:solidFill>
            <a:schemeClr val="accent4"/>
          </a:solidFill>
          <a:ln w="25400">
            <a:noFill/>
          </a:ln>
          <a:effectLst/>
        </c:spPr>
        <c:marker>
          <c:symbol val="none"/>
        </c:marker>
      </c:pivotFmt>
      <c:pivotFmt>
        <c:idx val="26"/>
        <c:spPr>
          <a:solidFill>
            <a:schemeClr val="accent4"/>
          </a:solidFill>
          <a:ln w="25400">
            <a:noFill/>
          </a:ln>
          <a:effectLst/>
        </c:spPr>
        <c:marker>
          <c:symbol val="none"/>
        </c:marker>
      </c:pivotFmt>
      <c:pivotFmt>
        <c:idx val="27"/>
        <c:spPr>
          <a:solidFill>
            <a:schemeClr val="accent4"/>
          </a:solidFill>
          <a:ln w="25400">
            <a:noFill/>
          </a:ln>
          <a:effectLst/>
        </c:spPr>
        <c:marker>
          <c:symbol val="none"/>
        </c:marker>
      </c:pivotFmt>
      <c:pivotFmt>
        <c:idx val="28"/>
        <c:spPr>
          <a:solidFill>
            <a:schemeClr val="accent4"/>
          </a:solidFill>
          <a:ln w="25400">
            <a:noFill/>
          </a:ln>
          <a:effectLst/>
        </c:spPr>
        <c:marker>
          <c:symbol val="none"/>
        </c:marker>
      </c:pivotFmt>
      <c:pivotFmt>
        <c:idx val="29"/>
        <c:spPr>
          <a:solidFill>
            <a:schemeClr val="accent4"/>
          </a:solidFill>
          <a:ln w="25400">
            <a:noFill/>
          </a:ln>
          <a:effectLst/>
        </c:spPr>
        <c:marker>
          <c:symbol val="none"/>
        </c:marker>
      </c:pivotFmt>
      <c:pivotFmt>
        <c:idx val="30"/>
        <c:spPr>
          <a:solidFill>
            <a:schemeClr val="accent4"/>
          </a:solidFill>
          <a:ln w="25400">
            <a:noFill/>
          </a:ln>
          <a:effectLst/>
        </c:spPr>
        <c:marker>
          <c:symbol val="none"/>
        </c:marker>
      </c:pivotFmt>
      <c:pivotFmt>
        <c:idx val="31"/>
        <c:spPr>
          <a:solidFill>
            <a:schemeClr val="accent4"/>
          </a:solidFill>
          <a:ln w="25400">
            <a:noFill/>
          </a:ln>
          <a:effectLst/>
        </c:spPr>
        <c:marker>
          <c:symbol val="none"/>
        </c:marker>
      </c:pivotFmt>
      <c:pivotFmt>
        <c:idx val="32"/>
        <c:spPr>
          <a:solidFill>
            <a:schemeClr val="accent4"/>
          </a:solidFill>
          <a:ln w="25400">
            <a:noFill/>
          </a:ln>
          <a:effectLst/>
        </c:spPr>
        <c:marker>
          <c:symbol val="none"/>
        </c:marker>
      </c:pivotFmt>
      <c:pivotFmt>
        <c:idx val="33"/>
        <c:spPr>
          <a:solidFill>
            <a:schemeClr val="accent4"/>
          </a:solidFill>
          <a:ln w="25400">
            <a:noFill/>
          </a:ln>
          <a:effectLst/>
        </c:spPr>
        <c:marker>
          <c:symbol val="none"/>
        </c:marker>
      </c:pivotFmt>
      <c:pivotFmt>
        <c:idx val="34"/>
        <c:spPr>
          <a:solidFill>
            <a:schemeClr val="accent4"/>
          </a:solidFill>
          <a:ln w="25400">
            <a:noFill/>
          </a:ln>
          <a:effectLst/>
        </c:spPr>
        <c:marker>
          <c:symbol val="none"/>
        </c:marker>
      </c:pivotFmt>
      <c:pivotFmt>
        <c:idx val="35"/>
        <c:spPr>
          <a:solidFill>
            <a:schemeClr val="accent4"/>
          </a:solidFill>
          <a:ln w="25400">
            <a:noFill/>
          </a:ln>
          <a:effectLst/>
        </c:spPr>
        <c:marker>
          <c:symbol val="none"/>
        </c:marker>
      </c:pivotFmt>
      <c:pivotFmt>
        <c:idx val="36"/>
        <c:spPr>
          <a:solidFill>
            <a:schemeClr val="accent4"/>
          </a:solidFill>
          <a:ln w="25400">
            <a:noFill/>
          </a:ln>
          <a:effectLst/>
        </c:spPr>
        <c:marker>
          <c:symbol val="none"/>
        </c:marker>
      </c:pivotFmt>
      <c:pivotFmt>
        <c:idx val="37"/>
        <c:spPr>
          <a:solidFill>
            <a:schemeClr val="accent4"/>
          </a:solidFill>
          <a:ln w="25400">
            <a:noFill/>
          </a:ln>
          <a:effectLst/>
        </c:spPr>
        <c:marker>
          <c:symbol val="none"/>
        </c:marker>
      </c:pivotFmt>
      <c:pivotFmt>
        <c:idx val="38"/>
        <c:spPr>
          <a:solidFill>
            <a:schemeClr val="accent4"/>
          </a:solidFill>
          <a:ln w="25400">
            <a:noFill/>
          </a:ln>
          <a:effectLst/>
        </c:spPr>
        <c:marker>
          <c:symbol val="none"/>
        </c:marker>
      </c:pivotFmt>
      <c:pivotFmt>
        <c:idx val="39"/>
        <c:spPr>
          <a:solidFill>
            <a:schemeClr val="accent4"/>
          </a:solidFill>
          <a:ln w="25400">
            <a:noFill/>
          </a:ln>
          <a:effectLst/>
        </c:spPr>
        <c:marker>
          <c:symbol val="none"/>
        </c:marker>
      </c:pivotFmt>
      <c:pivotFmt>
        <c:idx val="40"/>
        <c:spPr>
          <a:solidFill>
            <a:schemeClr val="accent4"/>
          </a:solidFill>
          <a:ln w="25400">
            <a:noFill/>
          </a:ln>
          <a:effectLst/>
        </c:spPr>
        <c:marker>
          <c:symbol val="none"/>
        </c:marker>
      </c:pivotFmt>
      <c:pivotFmt>
        <c:idx val="41"/>
        <c:spPr>
          <a:solidFill>
            <a:schemeClr val="accent4"/>
          </a:solidFill>
          <a:ln w="25400">
            <a:noFill/>
          </a:ln>
          <a:effectLst/>
        </c:spPr>
        <c:marker>
          <c:symbol val="none"/>
        </c:marker>
      </c:pivotFmt>
      <c:pivotFmt>
        <c:idx val="42"/>
        <c:spPr>
          <a:solidFill>
            <a:schemeClr val="accent4"/>
          </a:solidFill>
          <a:ln w="25400">
            <a:noFill/>
          </a:ln>
          <a:effectLst/>
        </c:spPr>
        <c:marker>
          <c:symbol val="none"/>
        </c:marker>
      </c:pivotFmt>
      <c:pivotFmt>
        <c:idx val="43"/>
        <c:spPr>
          <a:solidFill>
            <a:schemeClr val="accent4"/>
          </a:solidFill>
          <a:ln w="25400">
            <a:noFill/>
          </a:ln>
          <a:effectLst/>
        </c:spPr>
        <c:marker>
          <c:symbol val="none"/>
        </c:marker>
      </c:pivotFmt>
      <c:pivotFmt>
        <c:idx val="44"/>
        <c:spPr>
          <a:solidFill>
            <a:schemeClr val="accent4"/>
          </a:solidFill>
          <a:ln w="25400">
            <a:noFill/>
          </a:ln>
          <a:effectLst/>
        </c:spPr>
        <c:marker>
          <c:symbol val="none"/>
        </c:marker>
      </c:pivotFmt>
      <c:pivotFmt>
        <c:idx val="45"/>
        <c:spPr>
          <a:solidFill>
            <a:schemeClr val="accent4"/>
          </a:solidFill>
          <a:ln w="25400">
            <a:noFill/>
          </a:ln>
          <a:effectLst/>
        </c:spPr>
        <c:marker>
          <c:symbol val="none"/>
        </c:marker>
      </c:pivotFmt>
      <c:pivotFmt>
        <c:idx val="46"/>
        <c:spPr>
          <a:solidFill>
            <a:schemeClr val="accent4"/>
          </a:solidFill>
          <a:ln w="25400">
            <a:noFill/>
          </a:ln>
          <a:effectLst/>
        </c:spPr>
        <c:marker>
          <c:symbol val="none"/>
        </c:marker>
      </c:pivotFmt>
      <c:pivotFmt>
        <c:idx val="47"/>
        <c:spPr>
          <a:solidFill>
            <a:schemeClr val="accent4"/>
          </a:solidFill>
          <a:ln w="25400">
            <a:noFill/>
          </a:ln>
          <a:effectLst/>
        </c:spPr>
        <c:marker>
          <c:symbol val="none"/>
        </c:marker>
      </c:pivotFmt>
      <c:pivotFmt>
        <c:idx val="48"/>
        <c:spPr>
          <a:solidFill>
            <a:schemeClr val="accent4"/>
          </a:solidFill>
          <a:ln w="25400">
            <a:noFill/>
          </a:ln>
          <a:effectLst/>
        </c:spPr>
        <c:marker>
          <c:symbol val="none"/>
        </c:marker>
      </c:pivotFmt>
      <c:pivotFmt>
        <c:idx val="49"/>
        <c:spPr>
          <a:solidFill>
            <a:schemeClr val="accent4"/>
          </a:solidFill>
          <a:ln w="25400">
            <a:noFill/>
          </a:ln>
          <a:effectLst/>
        </c:spPr>
        <c:marker>
          <c:symbol val="none"/>
        </c:marker>
      </c:pivotFmt>
      <c:pivotFmt>
        <c:idx val="50"/>
        <c:spPr>
          <a:solidFill>
            <a:schemeClr val="accent4"/>
          </a:solidFill>
          <a:ln w="25400">
            <a:noFill/>
          </a:ln>
          <a:effectLst/>
        </c:spPr>
        <c:marker>
          <c:symbol val="none"/>
        </c:marker>
      </c:pivotFmt>
      <c:pivotFmt>
        <c:idx val="51"/>
        <c:spPr>
          <a:solidFill>
            <a:schemeClr val="accent4"/>
          </a:solidFill>
          <a:ln w="25400">
            <a:noFill/>
          </a:ln>
          <a:effectLst/>
        </c:spPr>
        <c:marker>
          <c:symbol val="none"/>
        </c:marker>
      </c:pivotFmt>
      <c:pivotFmt>
        <c:idx val="52"/>
        <c:spPr>
          <a:solidFill>
            <a:schemeClr val="accent4"/>
          </a:solidFill>
          <a:ln w="25400">
            <a:noFill/>
          </a:ln>
          <a:effectLst/>
        </c:spPr>
        <c:marker>
          <c:symbol val="none"/>
        </c:marker>
      </c:pivotFmt>
      <c:pivotFmt>
        <c:idx val="53"/>
        <c:spPr>
          <a:solidFill>
            <a:schemeClr val="accent4"/>
          </a:solidFill>
          <a:ln w="25400">
            <a:noFill/>
          </a:ln>
          <a:effectLst/>
        </c:spPr>
        <c:marker>
          <c:symbol val="none"/>
        </c:marker>
      </c:pivotFmt>
      <c:pivotFmt>
        <c:idx val="54"/>
        <c:spPr>
          <a:solidFill>
            <a:schemeClr val="accent4"/>
          </a:solidFill>
          <a:ln w="25400">
            <a:noFill/>
          </a:ln>
          <a:effectLst/>
        </c:spPr>
        <c:marker>
          <c:symbol val="none"/>
        </c:marker>
      </c:pivotFmt>
      <c:pivotFmt>
        <c:idx val="55"/>
        <c:spPr>
          <a:solidFill>
            <a:schemeClr val="accent4"/>
          </a:solidFill>
          <a:ln w="25400">
            <a:noFill/>
          </a:ln>
          <a:effectLst/>
        </c:spPr>
        <c:marker>
          <c:symbol val="none"/>
        </c:marker>
      </c:pivotFmt>
      <c:pivotFmt>
        <c:idx val="56"/>
        <c:spPr>
          <a:solidFill>
            <a:schemeClr val="accent4"/>
          </a:solidFill>
          <a:ln w="25400">
            <a:noFill/>
          </a:ln>
          <a:effectLst/>
        </c:spPr>
        <c:marker>
          <c:symbol val="none"/>
        </c:marker>
      </c:pivotFmt>
      <c:pivotFmt>
        <c:idx val="57"/>
        <c:spPr>
          <a:solidFill>
            <a:schemeClr val="accent4"/>
          </a:solidFill>
          <a:ln w="25400">
            <a:noFill/>
          </a:ln>
          <a:effectLst/>
        </c:spPr>
        <c:marker>
          <c:symbol val="none"/>
        </c:marker>
      </c:pivotFmt>
      <c:pivotFmt>
        <c:idx val="58"/>
        <c:spPr>
          <a:solidFill>
            <a:schemeClr val="accent4"/>
          </a:solidFill>
          <a:ln w="25400">
            <a:noFill/>
          </a:ln>
          <a:effectLst/>
        </c:spPr>
        <c:marker>
          <c:symbol val="none"/>
        </c:marker>
      </c:pivotFmt>
      <c:pivotFmt>
        <c:idx val="59"/>
        <c:spPr>
          <a:solidFill>
            <a:schemeClr val="accent4"/>
          </a:solidFill>
          <a:ln w="25400">
            <a:noFill/>
          </a:ln>
          <a:effectLst/>
        </c:spPr>
        <c:marker>
          <c:symbol val="none"/>
        </c:marker>
      </c:pivotFmt>
      <c:pivotFmt>
        <c:idx val="60"/>
        <c:spPr>
          <a:solidFill>
            <a:schemeClr val="accent4"/>
          </a:solidFill>
          <a:ln w="25400">
            <a:noFill/>
          </a:ln>
          <a:effectLst/>
        </c:spPr>
        <c:marker>
          <c:symbol val="none"/>
        </c:marker>
      </c:pivotFmt>
      <c:pivotFmt>
        <c:idx val="61"/>
        <c:spPr>
          <a:solidFill>
            <a:schemeClr val="accent4"/>
          </a:solidFill>
          <a:ln w="25400">
            <a:noFill/>
          </a:ln>
          <a:effectLst/>
        </c:spPr>
        <c:marker>
          <c:symbol val="none"/>
        </c:marker>
      </c:pivotFmt>
      <c:pivotFmt>
        <c:idx val="62"/>
        <c:spPr>
          <a:solidFill>
            <a:schemeClr val="accent4"/>
          </a:solidFill>
          <a:ln w="25400">
            <a:noFill/>
          </a:ln>
          <a:effectLst/>
        </c:spPr>
        <c:marker>
          <c:symbol val="none"/>
        </c:marker>
      </c:pivotFmt>
      <c:pivotFmt>
        <c:idx val="63"/>
        <c:spPr>
          <a:solidFill>
            <a:schemeClr val="accent4"/>
          </a:solidFill>
          <a:ln w="25400">
            <a:noFill/>
          </a:ln>
          <a:effectLst/>
        </c:spPr>
        <c:marker>
          <c:symbol val="none"/>
        </c:marker>
      </c:pivotFmt>
      <c:pivotFmt>
        <c:idx val="64"/>
        <c:spPr>
          <a:solidFill>
            <a:schemeClr val="accent4"/>
          </a:solidFill>
          <a:ln w="25400">
            <a:noFill/>
          </a:ln>
          <a:effectLst/>
        </c:spPr>
        <c:marker>
          <c:symbol val="none"/>
        </c:marker>
      </c:pivotFmt>
      <c:pivotFmt>
        <c:idx val="65"/>
        <c:spPr>
          <a:solidFill>
            <a:schemeClr val="accent4"/>
          </a:solidFill>
          <a:ln w="25400">
            <a:noFill/>
          </a:ln>
          <a:effectLst/>
        </c:spPr>
        <c:marker>
          <c:symbol val="none"/>
        </c:marker>
      </c:pivotFmt>
      <c:pivotFmt>
        <c:idx val="66"/>
        <c:spPr>
          <a:solidFill>
            <a:schemeClr val="accent4"/>
          </a:solidFill>
          <a:ln w="25400">
            <a:noFill/>
          </a:ln>
          <a:effectLst/>
        </c:spPr>
        <c:marker>
          <c:symbol val="none"/>
        </c:marker>
      </c:pivotFmt>
      <c:pivotFmt>
        <c:idx val="67"/>
        <c:spPr>
          <a:solidFill>
            <a:schemeClr val="accent4"/>
          </a:solidFill>
          <a:ln w="25400">
            <a:noFill/>
          </a:ln>
          <a:effectLst/>
        </c:spPr>
        <c:marker>
          <c:symbol val="none"/>
        </c:marker>
      </c:pivotFmt>
      <c:pivotFmt>
        <c:idx val="68"/>
        <c:spPr>
          <a:solidFill>
            <a:schemeClr val="accent4"/>
          </a:solidFill>
          <a:ln w="25400">
            <a:noFill/>
          </a:ln>
          <a:effectLst/>
        </c:spPr>
        <c:marker>
          <c:symbol val="none"/>
        </c:marker>
      </c:pivotFmt>
      <c:pivotFmt>
        <c:idx val="69"/>
        <c:spPr>
          <a:solidFill>
            <a:schemeClr val="accent4"/>
          </a:solidFill>
          <a:ln w="25400">
            <a:noFill/>
          </a:ln>
          <a:effectLst/>
        </c:spPr>
        <c:marker>
          <c:symbol val="none"/>
        </c:marker>
      </c:pivotFmt>
      <c:pivotFmt>
        <c:idx val="70"/>
        <c:spPr>
          <a:solidFill>
            <a:schemeClr val="accent4"/>
          </a:solidFill>
          <a:ln w="25400">
            <a:noFill/>
          </a:ln>
          <a:effectLst/>
        </c:spPr>
        <c:marker>
          <c:symbol val="none"/>
        </c:marker>
      </c:pivotFmt>
      <c:pivotFmt>
        <c:idx val="71"/>
        <c:spPr>
          <a:solidFill>
            <a:schemeClr val="accent4"/>
          </a:solidFill>
          <a:ln w="25400">
            <a:noFill/>
          </a:ln>
          <a:effectLst/>
        </c:spPr>
        <c:marker>
          <c:symbol val="none"/>
        </c:marker>
      </c:pivotFmt>
      <c:pivotFmt>
        <c:idx val="72"/>
        <c:spPr>
          <a:solidFill>
            <a:schemeClr val="accent4"/>
          </a:solidFill>
          <a:ln w="25400">
            <a:noFill/>
          </a:ln>
          <a:effectLst/>
        </c:spPr>
        <c:marker>
          <c:symbol val="none"/>
        </c:marker>
      </c:pivotFmt>
      <c:pivotFmt>
        <c:idx val="73"/>
        <c:spPr>
          <a:solidFill>
            <a:schemeClr val="accent4"/>
          </a:solidFill>
          <a:ln w="25400">
            <a:noFill/>
          </a:ln>
          <a:effectLst/>
        </c:spPr>
        <c:marker>
          <c:symbol val="none"/>
        </c:marker>
      </c:pivotFmt>
      <c:pivotFmt>
        <c:idx val="74"/>
        <c:spPr>
          <a:solidFill>
            <a:schemeClr val="accent4"/>
          </a:solidFill>
          <a:ln w="25400">
            <a:noFill/>
          </a:ln>
          <a:effectLst/>
        </c:spPr>
        <c:marker>
          <c:symbol val="none"/>
        </c:marker>
      </c:pivotFmt>
      <c:pivotFmt>
        <c:idx val="75"/>
        <c:spPr>
          <a:solidFill>
            <a:schemeClr val="accent4"/>
          </a:solidFill>
          <a:ln w="25400">
            <a:noFill/>
          </a:ln>
          <a:effectLst/>
        </c:spPr>
        <c:marker>
          <c:symbol val="none"/>
        </c:marker>
      </c:pivotFmt>
      <c:pivotFmt>
        <c:idx val="76"/>
        <c:spPr>
          <a:solidFill>
            <a:schemeClr val="accent4"/>
          </a:solidFill>
          <a:ln w="25400">
            <a:noFill/>
          </a:ln>
          <a:effectLst/>
        </c:spPr>
        <c:marker>
          <c:symbol val="none"/>
        </c:marker>
      </c:pivotFmt>
      <c:pivotFmt>
        <c:idx val="77"/>
        <c:spPr>
          <a:solidFill>
            <a:schemeClr val="accent4"/>
          </a:solidFill>
          <a:ln w="25400">
            <a:noFill/>
          </a:ln>
          <a:effectLst/>
        </c:spPr>
        <c:marker>
          <c:symbol val="none"/>
        </c:marker>
      </c:pivotFmt>
      <c:pivotFmt>
        <c:idx val="78"/>
        <c:spPr>
          <a:solidFill>
            <a:schemeClr val="accent4"/>
          </a:solidFill>
          <a:ln w="25400">
            <a:noFill/>
          </a:ln>
          <a:effectLst/>
        </c:spPr>
        <c:marker>
          <c:symbol val="none"/>
        </c:marker>
      </c:pivotFmt>
      <c:pivotFmt>
        <c:idx val="79"/>
        <c:spPr>
          <a:solidFill>
            <a:schemeClr val="accent4"/>
          </a:solidFill>
          <a:ln w="25400">
            <a:noFill/>
          </a:ln>
          <a:effectLst/>
        </c:spPr>
        <c:marker>
          <c:symbol val="none"/>
        </c:marker>
      </c:pivotFmt>
      <c:pivotFmt>
        <c:idx val="80"/>
        <c:spPr>
          <a:solidFill>
            <a:schemeClr val="accent4"/>
          </a:solidFill>
          <a:ln w="25400">
            <a:noFill/>
          </a:ln>
          <a:effectLst/>
        </c:spPr>
        <c:marker>
          <c:symbol val="none"/>
        </c:marker>
      </c:pivotFmt>
      <c:pivotFmt>
        <c:idx val="81"/>
        <c:spPr>
          <a:solidFill>
            <a:schemeClr val="accent4"/>
          </a:solidFill>
          <a:ln w="25400">
            <a:noFill/>
          </a:ln>
          <a:effectLst/>
        </c:spPr>
        <c:marker>
          <c:symbol val="none"/>
        </c:marker>
      </c:pivotFmt>
      <c:pivotFmt>
        <c:idx val="82"/>
        <c:spPr>
          <a:solidFill>
            <a:schemeClr val="accent4"/>
          </a:solidFill>
          <a:ln w="25400">
            <a:noFill/>
          </a:ln>
          <a:effectLst/>
        </c:spPr>
        <c:marker>
          <c:symbol val="none"/>
        </c:marker>
      </c:pivotFmt>
      <c:pivotFmt>
        <c:idx val="83"/>
        <c:spPr>
          <a:solidFill>
            <a:schemeClr val="accent4"/>
          </a:solidFill>
          <a:ln w="25400">
            <a:noFill/>
          </a:ln>
          <a:effectLst/>
        </c:spPr>
        <c:marker>
          <c:symbol val="none"/>
        </c:marker>
      </c:pivotFmt>
      <c:pivotFmt>
        <c:idx val="84"/>
        <c:spPr>
          <a:solidFill>
            <a:schemeClr val="accent4"/>
          </a:solidFill>
          <a:ln w="25400">
            <a:noFill/>
          </a:ln>
          <a:effectLst/>
        </c:spPr>
        <c:marker>
          <c:symbol val="none"/>
        </c:marker>
      </c:pivotFmt>
      <c:pivotFmt>
        <c:idx val="85"/>
        <c:spPr>
          <a:solidFill>
            <a:schemeClr val="accent4"/>
          </a:solidFill>
          <a:ln w="25400">
            <a:noFill/>
          </a:ln>
          <a:effectLst/>
        </c:spPr>
        <c:marker>
          <c:symbol val="none"/>
        </c:marker>
      </c:pivotFmt>
      <c:pivotFmt>
        <c:idx val="86"/>
        <c:spPr>
          <a:solidFill>
            <a:schemeClr val="accent4"/>
          </a:solidFill>
          <a:ln w="25400">
            <a:noFill/>
          </a:ln>
          <a:effectLst/>
        </c:spPr>
        <c:marker>
          <c:symbol val="none"/>
        </c:marker>
      </c:pivotFmt>
      <c:pivotFmt>
        <c:idx val="87"/>
        <c:spPr>
          <a:solidFill>
            <a:schemeClr val="accent4"/>
          </a:solidFill>
          <a:ln w="25400">
            <a:noFill/>
          </a:ln>
          <a:effectLst/>
        </c:spPr>
        <c:marker>
          <c:symbol val="none"/>
        </c:marker>
      </c:pivotFmt>
      <c:pivotFmt>
        <c:idx val="88"/>
        <c:spPr>
          <a:solidFill>
            <a:schemeClr val="accent4"/>
          </a:solidFill>
          <a:ln w="25400">
            <a:noFill/>
          </a:ln>
          <a:effectLst/>
        </c:spPr>
        <c:marker>
          <c:symbol val="none"/>
        </c:marker>
      </c:pivotFmt>
      <c:pivotFmt>
        <c:idx val="89"/>
        <c:spPr>
          <a:solidFill>
            <a:schemeClr val="accent4"/>
          </a:solidFill>
          <a:ln w="25400">
            <a:noFill/>
          </a:ln>
          <a:effectLst/>
        </c:spPr>
        <c:marker>
          <c:symbol val="none"/>
        </c:marker>
      </c:pivotFmt>
      <c:pivotFmt>
        <c:idx val="90"/>
        <c:spPr>
          <a:solidFill>
            <a:schemeClr val="accent4"/>
          </a:solidFill>
          <a:ln w="25400">
            <a:noFill/>
          </a:ln>
          <a:effectLst/>
        </c:spPr>
        <c:marker>
          <c:symbol val="none"/>
        </c:marker>
      </c:pivotFmt>
      <c:pivotFmt>
        <c:idx val="91"/>
        <c:spPr>
          <a:solidFill>
            <a:schemeClr val="accent4"/>
          </a:solidFill>
          <a:ln w="25400">
            <a:noFill/>
          </a:ln>
          <a:effectLst/>
        </c:spPr>
        <c:marker>
          <c:symbol val="none"/>
        </c:marker>
      </c:pivotFmt>
      <c:pivotFmt>
        <c:idx val="92"/>
        <c:spPr>
          <a:solidFill>
            <a:schemeClr val="accent4"/>
          </a:solidFill>
          <a:ln w="25400">
            <a:noFill/>
          </a:ln>
          <a:effectLst/>
        </c:spPr>
        <c:marker>
          <c:symbol val="none"/>
        </c:marker>
      </c:pivotFmt>
      <c:pivotFmt>
        <c:idx val="93"/>
        <c:spPr>
          <a:solidFill>
            <a:schemeClr val="accent4"/>
          </a:solidFill>
          <a:ln w="25400">
            <a:noFill/>
          </a:ln>
          <a:effectLst/>
        </c:spPr>
        <c:marker>
          <c:symbol val="none"/>
        </c:marker>
      </c:pivotFmt>
      <c:pivotFmt>
        <c:idx val="94"/>
        <c:spPr>
          <a:solidFill>
            <a:schemeClr val="accent4"/>
          </a:solidFill>
          <a:ln w="25400">
            <a:noFill/>
          </a:ln>
          <a:effectLst/>
        </c:spPr>
        <c:marker>
          <c:symbol val="none"/>
        </c:marker>
      </c:pivotFmt>
      <c:pivotFmt>
        <c:idx val="95"/>
        <c:spPr>
          <a:solidFill>
            <a:schemeClr val="accent4"/>
          </a:solidFill>
          <a:ln w="25400">
            <a:noFill/>
          </a:ln>
          <a:effectLst/>
        </c:spPr>
        <c:marker>
          <c:symbol val="none"/>
        </c:marker>
      </c:pivotFmt>
      <c:pivotFmt>
        <c:idx val="96"/>
        <c:spPr>
          <a:solidFill>
            <a:schemeClr val="accent4"/>
          </a:solidFill>
          <a:ln w="25400">
            <a:noFill/>
          </a:ln>
          <a:effectLst/>
        </c:spPr>
        <c:marker>
          <c:symbol val="none"/>
        </c:marker>
      </c:pivotFmt>
      <c:pivotFmt>
        <c:idx val="97"/>
        <c:spPr>
          <a:solidFill>
            <a:schemeClr val="accent4"/>
          </a:solidFill>
          <a:ln w="25400">
            <a:noFill/>
          </a:ln>
          <a:effectLst/>
        </c:spPr>
        <c:marker>
          <c:symbol val="none"/>
        </c:marker>
      </c:pivotFmt>
      <c:pivotFmt>
        <c:idx val="98"/>
        <c:spPr>
          <a:solidFill>
            <a:schemeClr val="accent4"/>
          </a:solidFill>
          <a:ln w="25400">
            <a:noFill/>
          </a:ln>
          <a:effectLst/>
        </c:spPr>
        <c:marker>
          <c:symbol val="none"/>
        </c:marker>
      </c:pivotFmt>
      <c:pivotFmt>
        <c:idx val="99"/>
        <c:spPr>
          <a:solidFill>
            <a:schemeClr val="accent4"/>
          </a:solidFill>
          <a:ln w="25400">
            <a:noFill/>
          </a:ln>
          <a:effectLst/>
        </c:spPr>
        <c:marker>
          <c:symbol val="none"/>
        </c:marker>
      </c:pivotFmt>
      <c:pivotFmt>
        <c:idx val="100"/>
        <c:spPr>
          <a:solidFill>
            <a:schemeClr val="accent4"/>
          </a:solidFill>
          <a:ln w="25400">
            <a:noFill/>
          </a:ln>
          <a:effectLst/>
        </c:spPr>
        <c:marker>
          <c:symbol val="none"/>
        </c:marker>
      </c:pivotFmt>
      <c:pivotFmt>
        <c:idx val="101"/>
        <c:spPr>
          <a:solidFill>
            <a:schemeClr val="accent4"/>
          </a:solidFill>
          <a:ln w="25400">
            <a:noFill/>
          </a:ln>
          <a:effectLst/>
        </c:spPr>
        <c:marker>
          <c:symbol val="none"/>
        </c:marker>
      </c:pivotFmt>
      <c:pivotFmt>
        <c:idx val="102"/>
        <c:spPr>
          <a:solidFill>
            <a:schemeClr val="accent4"/>
          </a:solidFill>
          <a:ln w="25400">
            <a:noFill/>
          </a:ln>
          <a:effectLst/>
        </c:spPr>
        <c:marker>
          <c:symbol val="none"/>
        </c:marker>
      </c:pivotFmt>
      <c:pivotFmt>
        <c:idx val="103"/>
        <c:spPr>
          <a:solidFill>
            <a:schemeClr val="accent4"/>
          </a:solidFill>
          <a:ln w="25400">
            <a:noFill/>
          </a:ln>
          <a:effectLst/>
        </c:spPr>
        <c:marker>
          <c:symbol val="none"/>
        </c:marker>
      </c:pivotFmt>
      <c:pivotFmt>
        <c:idx val="104"/>
        <c:spPr>
          <a:solidFill>
            <a:schemeClr val="accent4"/>
          </a:solidFill>
          <a:ln w="25400">
            <a:noFill/>
          </a:ln>
          <a:effectLst/>
        </c:spPr>
        <c:marker>
          <c:symbol val="none"/>
        </c:marker>
      </c:pivotFmt>
      <c:pivotFmt>
        <c:idx val="105"/>
        <c:spPr>
          <a:solidFill>
            <a:schemeClr val="accent4"/>
          </a:solidFill>
          <a:ln w="25400">
            <a:noFill/>
          </a:ln>
          <a:effectLst/>
        </c:spPr>
        <c:marker>
          <c:symbol val="none"/>
        </c:marker>
      </c:pivotFmt>
      <c:pivotFmt>
        <c:idx val="106"/>
        <c:spPr>
          <a:solidFill>
            <a:schemeClr val="accent4"/>
          </a:solidFill>
          <a:ln w="25400">
            <a:noFill/>
          </a:ln>
          <a:effectLst/>
        </c:spPr>
        <c:marker>
          <c:symbol val="none"/>
        </c:marker>
      </c:pivotFmt>
      <c:pivotFmt>
        <c:idx val="107"/>
        <c:spPr>
          <a:solidFill>
            <a:schemeClr val="accent4"/>
          </a:solidFill>
          <a:ln w="25400">
            <a:noFill/>
          </a:ln>
          <a:effectLst/>
        </c:spPr>
        <c:marker>
          <c:symbol val="none"/>
        </c:marker>
      </c:pivotFmt>
      <c:pivotFmt>
        <c:idx val="108"/>
        <c:spPr>
          <a:solidFill>
            <a:schemeClr val="accent4"/>
          </a:solidFill>
          <a:ln w="25400">
            <a:noFill/>
          </a:ln>
          <a:effectLst/>
        </c:spPr>
        <c:marker>
          <c:symbol val="none"/>
        </c:marker>
      </c:pivotFmt>
      <c:pivotFmt>
        <c:idx val="109"/>
        <c:spPr>
          <a:solidFill>
            <a:schemeClr val="accent4"/>
          </a:solidFill>
          <a:ln w="25400">
            <a:noFill/>
          </a:ln>
          <a:effectLst/>
        </c:spPr>
        <c:marker>
          <c:symbol val="none"/>
        </c:marker>
      </c:pivotFmt>
      <c:pivotFmt>
        <c:idx val="110"/>
        <c:spPr>
          <a:solidFill>
            <a:schemeClr val="accent4"/>
          </a:solidFill>
          <a:ln w="25400">
            <a:noFill/>
          </a:ln>
          <a:effectLst/>
        </c:spPr>
        <c:marker>
          <c:symbol val="none"/>
        </c:marker>
      </c:pivotFmt>
      <c:pivotFmt>
        <c:idx val="111"/>
        <c:spPr>
          <a:solidFill>
            <a:schemeClr val="accent4"/>
          </a:solidFill>
          <a:ln w="25400">
            <a:noFill/>
          </a:ln>
          <a:effectLst/>
        </c:spPr>
        <c:marker>
          <c:symbol val="none"/>
        </c:marker>
      </c:pivotFmt>
      <c:pivotFmt>
        <c:idx val="112"/>
        <c:spPr>
          <a:solidFill>
            <a:schemeClr val="accent4"/>
          </a:solidFill>
          <a:ln w="25400">
            <a:noFill/>
          </a:ln>
          <a:effectLst/>
        </c:spPr>
        <c:marker>
          <c:symbol val="none"/>
        </c:marker>
      </c:pivotFmt>
      <c:pivotFmt>
        <c:idx val="113"/>
        <c:spPr>
          <a:solidFill>
            <a:schemeClr val="accent4"/>
          </a:solidFill>
          <a:ln w="25400">
            <a:noFill/>
          </a:ln>
          <a:effectLst/>
        </c:spPr>
        <c:marker>
          <c:symbol val="none"/>
        </c:marker>
      </c:pivotFmt>
      <c:pivotFmt>
        <c:idx val="114"/>
        <c:spPr>
          <a:solidFill>
            <a:schemeClr val="accent4"/>
          </a:solidFill>
          <a:ln w="25400">
            <a:noFill/>
          </a:ln>
          <a:effectLst/>
        </c:spPr>
        <c:marker>
          <c:symbol val="none"/>
        </c:marker>
      </c:pivotFmt>
      <c:pivotFmt>
        <c:idx val="115"/>
        <c:spPr>
          <a:solidFill>
            <a:schemeClr val="accent4"/>
          </a:solidFill>
          <a:ln w="25400">
            <a:noFill/>
          </a:ln>
          <a:effectLst/>
        </c:spPr>
        <c:marker>
          <c:symbol val="none"/>
        </c:marker>
      </c:pivotFmt>
      <c:pivotFmt>
        <c:idx val="116"/>
        <c:spPr>
          <a:solidFill>
            <a:schemeClr val="accent4"/>
          </a:solidFill>
          <a:ln w="25400">
            <a:noFill/>
          </a:ln>
          <a:effectLst/>
        </c:spPr>
        <c:marker>
          <c:symbol val="none"/>
        </c:marker>
      </c:pivotFmt>
      <c:pivotFmt>
        <c:idx val="117"/>
        <c:spPr>
          <a:solidFill>
            <a:schemeClr val="accent4"/>
          </a:solidFill>
          <a:ln w="25400">
            <a:noFill/>
          </a:ln>
          <a:effectLst/>
        </c:spPr>
        <c:marker>
          <c:symbol val="none"/>
        </c:marker>
      </c:pivotFmt>
      <c:pivotFmt>
        <c:idx val="118"/>
        <c:spPr>
          <a:solidFill>
            <a:schemeClr val="accent4"/>
          </a:solidFill>
          <a:ln w="25400">
            <a:noFill/>
          </a:ln>
          <a:effectLst/>
        </c:spPr>
        <c:marker>
          <c:symbol val="none"/>
        </c:marker>
      </c:pivotFmt>
      <c:pivotFmt>
        <c:idx val="119"/>
        <c:spPr>
          <a:solidFill>
            <a:schemeClr val="accent4"/>
          </a:solidFill>
          <a:ln w="25400">
            <a:noFill/>
          </a:ln>
          <a:effectLst/>
        </c:spPr>
        <c:marker>
          <c:symbol val="none"/>
        </c:marker>
      </c:pivotFmt>
      <c:pivotFmt>
        <c:idx val="120"/>
        <c:spPr>
          <a:solidFill>
            <a:schemeClr val="accent4"/>
          </a:solidFill>
          <a:ln w="25400">
            <a:noFill/>
          </a:ln>
          <a:effectLst/>
        </c:spPr>
        <c:marker>
          <c:symbol val="none"/>
        </c:marker>
      </c:pivotFmt>
      <c:pivotFmt>
        <c:idx val="121"/>
        <c:spPr>
          <a:solidFill>
            <a:schemeClr val="accent4"/>
          </a:solidFill>
          <a:ln w="25400">
            <a:noFill/>
          </a:ln>
          <a:effectLst/>
        </c:spPr>
        <c:marker>
          <c:symbol val="none"/>
        </c:marker>
      </c:pivotFmt>
      <c:pivotFmt>
        <c:idx val="122"/>
        <c:spPr>
          <a:solidFill>
            <a:schemeClr val="accent4"/>
          </a:solidFill>
          <a:ln w="25400">
            <a:noFill/>
          </a:ln>
          <a:effectLst/>
        </c:spPr>
        <c:marker>
          <c:symbol val="none"/>
        </c:marker>
      </c:pivotFmt>
      <c:pivotFmt>
        <c:idx val="123"/>
        <c:spPr>
          <a:solidFill>
            <a:schemeClr val="accent4"/>
          </a:solidFill>
          <a:ln w="25400">
            <a:noFill/>
          </a:ln>
          <a:effectLst/>
        </c:spPr>
        <c:marker>
          <c:symbol val="none"/>
        </c:marker>
      </c:pivotFmt>
      <c:pivotFmt>
        <c:idx val="124"/>
        <c:spPr>
          <a:solidFill>
            <a:schemeClr val="accent4"/>
          </a:solidFill>
          <a:ln w="25400">
            <a:noFill/>
          </a:ln>
          <a:effectLst/>
        </c:spPr>
        <c:marker>
          <c:symbol val="none"/>
        </c:marker>
      </c:pivotFmt>
      <c:pivotFmt>
        <c:idx val="125"/>
        <c:spPr>
          <a:solidFill>
            <a:schemeClr val="accent4"/>
          </a:solidFill>
          <a:ln w="25400">
            <a:noFill/>
          </a:ln>
          <a:effectLst/>
        </c:spPr>
        <c:marker>
          <c:symbol val="none"/>
        </c:marker>
      </c:pivotFmt>
      <c:pivotFmt>
        <c:idx val="126"/>
        <c:spPr>
          <a:solidFill>
            <a:schemeClr val="accent4"/>
          </a:solidFill>
          <a:ln w="25400">
            <a:noFill/>
          </a:ln>
          <a:effectLst/>
        </c:spPr>
        <c:marker>
          <c:symbol val="none"/>
        </c:marker>
      </c:pivotFmt>
      <c:pivotFmt>
        <c:idx val="127"/>
        <c:spPr>
          <a:solidFill>
            <a:schemeClr val="accent4"/>
          </a:solidFill>
          <a:ln w="25400">
            <a:noFill/>
          </a:ln>
          <a:effectLst/>
        </c:spPr>
        <c:marker>
          <c:symbol val="none"/>
        </c:marker>
      </c:pivotFmt>
      <c:pivotFmt>
        <c:idx val="128"/>
        <c:spPr>
          <a:solidFill>
            <a:schemeClr val="accent4"/>
          </a:solidFill>
          <a:ln w="25400">
            <a:noFill/>
          </a:ln>
          <a:effectLst/>
        </c:spPr>
        <c:marker>
          <c:symbol val="none"/>
        </c:marker>
      </c:pivotFmt>
      <c:pivotFmt>
        <c:idx val="129"/>
        <c:spPr>
          <a:solidFill>
            <a:schemeClr val="accent4"/>
          </a:solidFill>
          <a:ln w="25400">
            <a:noFill/>
          </a:ln>
          <a:effectLst/>
        </c:spPr>
        <c:marker>
          <c:symbol val="none"/>
        </c:marker>
      </c:pivotFmt>
      <c:pivotFmt>
        <c:idx val="130"/>
        <c:spPr>
          <a:solidFill>
            <a:schemeClr val="accent4"/>
          </a:solidFill>
          <a:ln w="25400">
            <a:noFill/>
          </a:ln>
          <a:effectLst/>
        </c:spPr>
        <c:marker>
          <c:symbol val="none"/>
        </c:marker>
      </c:pivotFmt>
      <c:pivotFmt>
        <c:idx val="131"/>
        <c:spPr>
          <a:solidFill>
            <a:schemeClr val="accent4"/>
          </a:solidFill>
          <a:ln w="25400">
            <a:noFill/>
          </a:ln>
          <a:effectLst/>
        </c:spPr>
        <c:marker>
          <c:symbol val="none"/>
        </c:marker>
      </c:pivotFmt>
      <c:pivotFmt>
        <c:idx val="132"/>
        <c:spPr>
          <a:solidFill>
            <a:schemeClr val="accent4"/>
          </a:solidFill>
          <a:ln w="25400">
            <a:noFill/>
          </a:ln>
          <a:effectLst/>
        </c:spPr>
        <c:marker>
          <c:symbol val="none"/>
        </c:marker>
      </c:pivotFmt>
      <c:pivotFmt>
        <c:idx val="133"/>
        <c:spPr>
          <a:solidFill>
            <a:schemeClr val="accent4"/>
          </a:solidFill>
          <a:ln w="25400">
            <a:noFill/>
          </a:ln>
          <a:effectLst/>
        </c:spPr>
        <c:marker>
          <c:symbol val="none"/>
        </c:marker>
      </c:pivotFmt>
      <c:pivotFmt>
        <c:idx val="134"/>
        <c:spPr>
          <a:solidFill>
            <a:schemeClr val="accent4"/>
          </a:solidFill>
          <a:ln w="25400">
            <a:noFill/>
          </a:ln>
          <a:effectLst/>
        </c:spPr>
        <c:marker>
          <c:symbol val="none"/>
        </c:marker>
      </c:pivotFmt>
      <c:pivotFmt>
        <c:idx val="135"/>
        <c:spPr>
          <a:solidFill>
            <a:schemeClr val="accent4"/>
          </a:solidFill>
          <a:ln w="25400">
            <a:noFill/>
          </a:ln>
          <a:effectLst/>
        </c:spPr>
        <c:marker>
          <c:symbol val="none"/>
        </c:marker>
      </c:pivotFmt>
      <c:pivotFmt>
        <c:idx val="136"/>
        <c:spPr>
          <a:solidFill>
            <a:schemeClr val="accent4"/>
          </a:solidFill>
          <a:ln w="25400">
            <a:noFill/>
          </a:ln>
          <a:effectLst/>
        </c:spPr>
        <c:marker>
          <c:symbol val="none"/>
        </c:marker>
      </c:pivotFmt>
      <c:pivotFmt>
        <c:idx val="137"/>
        <c:spPr>
          <a:solidFill>
            <a:schemeClr val="accent4"/>
          </a:solidFill>
          <a:ln w="25400">
            <a:noFill/>
          </a:ln>
          <a:effectLst/>
        </c:spPr>
        <c:marker>
          <c:symbol val="none"/>
        </c:marker>
      </c:pivotFmt>
      <c:pivotFmt>
        <c:idx val="138"/>
        <c:spPr>
          <a:solidFill>
            <a:schemeClr val="accent4"/>
          </a:solidFill>
          <a:ln w="25400">
            <a:noFill/>
          </a:ln>
          <a:effectLst/>
        </c:spPr>
        <c:marker>
          <c:symbol val="none"/>
        </c:marker>
      </c:pivotFmt>
      <c:pivotFmt>
        <c:idx val="139"/>
        <c:spPr>
          <a:solidFill>
            <a:schemeClr val="accent4"/>
          </a:solidFill>
          <a:ln w="25400">
            <a:noFill/>
          </a:ln>
          <a:effectLst/>
        </c:spPr>
        <c:marker>
          <c:symbol val="none"/>
        </c:marker>
      </c:pivotFmt>
      <c:pivotFmt>
        <c:idx val="140"/>
        <c:spPr>
          <a:solidFill>
            <a:schemeClr val="accent4"/>
          </a:solidFill>
          <a:ln w="25400">
            <a:noFill/>
          </a:ln>
          <a:effectLst/>
        </c:spPr>
        <c:marker>
          <c:symbol val="none"/>
        </c:marker>
      </c:pivotFmt>
      <c:pivotFmt>
        <c:idx val="141"/>
        <c:spPr>
          <a:solidFill>
            <a:schemeClr val="accent4"/>
          </a:solidFill>
          <a:ln w="25400">
            <a:noFill/>
          </a:ln>
          <a:effectLst/>
        </c:spPr>
        <c:marker>
          <c:symbol val="none"/>
        </c:marker>
      </c:pivotFmt>
      <c:pivotFmt>
        <c:idx val="142"/>
        <c:spPr>
          <a:solidFill>
            <a:schemeClr val="accent4"/>
          </a:solidFill>
          <a:ln w="25400">
            <a:noFill/>
          </a:ln>
          <a:effectLst/>
        </c:spPr>
        <c:marker>
          <c:symbol val="none"/>
        </c:marker>
      </c:pivotFmt>
      <c:pivotFmt>
        <c:idx val="143"/>
        <c:spPr>
          <a:solidFill>
            <a:schemeClr val="accent4"/>
          </a:solidFill>
          <a:ln w="25400">
            <a:noFill/>
          </a:ln>
          <a:effectLst/>
        </c:spPr>
        <c:marker>
          <c:symbol val="none"/>
        </c:marker>
      </c:pivotFmt>
      <c:pivotFmt>
        <c:idx val="144"/>
        <c:spPr>
          <a:solidFill>
            <a:schemeClr val="accent4"/>
          </a:solidFill>
          <a:ln w="25400">
            <a:noFill/>
          </a:ln>
          <a:effectLst/>
        </c:spPr>
        <c:marker>
          <c:symbol val="none"/>
        </c:marker>
      </c:pivotFmt>
      <c:pivotFmt>
        <c:idx val="145"/>
        <c:spPr>
          <a:solidFill>
            <a:schemeClr val="accent4"/>
          </a:solidFill>
          <a:ln w="25400">
            <a:noFill/>
          </a:ln>
          <a:effectLst/>
        </c:spPr>
        <c:marker>
          <c:symbol val="none"/>
        </c:marker>
      </c:pivotFmt>
      <c:pivotFmt>
        <c:idx val="146"/>
        <c:spPr>
          <a:solidFill>
            <a:schemeClr val="accent4"/>
          </a:solidFill>
          <a:ln w="25400">
            <a:noFill/>
          </a:ln>
          <a:effectLst/>
        </c:spPr>
        <c:marker>
          <c:symbol val="none"/>
        </c:marker>
      </c:pivotFmt>
      <c:pivotFmt>
        <c:idx val="147"/>
        <c:spPr>
          <a:solidFill>
            <a:schemeClr val="accent4"/>
          </a:solidFill>
          <a:ln w="25400">
            <a:noFill/>
          </a:ln>
          <a:effectLst/>
        </c:spPr>
        <c:marker>
          <c:symbol val="none"/>
        </c:marker>
      </c:pivotFmt>
      <c:pivotFmt>
        <c:idx val="148"/>
        <c:spPr>
          <a:solidFill>
            <a:schemeClr val="accent4"/>
          </a:solidFill>
          <a:ln w="25400">
            <a:noFill/>
          </a:ln>
          <a:effectLst/>
        </c:spPr>
        <c:marker>
          <c:symbol val="none"/>
        </c:marker>
      </c:pivotFmt>
      <c:pivotFmt>
        <c:idx val="149"/>
        <c:spPr>
          <a:solidFill>
            <a:schemeClr val="accent4"/>
          </a:solidFill>
          <a:ln w="25400">
            <a:noFill/>
          </a:ln>
          <a:effectLst/>
        </c:spPr>
        <c:marker>
          <c:symbol val="none"/>
        </c:marker>
      </c:pivotFmt>
      <c:pivotFmt>
        <c:idx val="150"/>
        <c:spPr>
          <a:solidFill>
            <a:schemeClr val="accent4"/>
          </a:solidFill>
          <a:ln w="25400">
            <a:noFill/>
          </a:ln>
          <a:effectLst/>
        </c:spPr>
        <c:marker>
          <c:symbol val="none"/>
        </c:marker>
      </c:pivotFmt>
      <c:pivotFmt>
        <c:idx val="151"/>
        <c:spPr>
          <a:solidFill>
            <a:schemeClr val="accent4"/>
          </a:solidFill>
          <a:ln w="25400">
            <a:noFill/>
          </a:ln>
          <a:effectLst/>
        </c:spPr>
        <c:marker>
          <c:symbol val="none"/>
        </c:marker>
      </c:pivotFmt>
      <c:pivotFmt>
        <c:idx val="152"/>
        <c:spPr>
          <a:solidFill>
            <a:schemeClr val="accent4"/>
          </a:solidFill>
          <a:ln w="25400">
            <a:noFill/>
          </a:ln>
          <a:effectLst/>
        </c:spPr>
        <c:marker>
          <c:symbol val="none"/>
        </c:marker>
      </c:pivotFmt>
      <c:pivotFmt>
        <c:idx val="153"/>
        <c:spPr>
          <a:solidFill>
            <a:schemeClr val="accent4"/>
          </a:solidFill>
          <a:ln w="25400">
            <a:noFill/>
          </a:ln>
          <a:effectLst/>
        </c:spPr>
        <c:marker>
          <c:symbol val="none"/>
        </c:marker>
      </c:pivotFmt>
      <c:pivotFmt>
        <c:idx val="154"/>
        <c:spPr>
          <a:solidFill>
            <a:schemeClr val="accent4"/>
          </a:solidFill>
          <a:ln w="25400">
            <a:noFill/>
          </a:ln>
          <a:effectLst/>
        </c:spPr>
        <c:marker>
          <c:symbol val="none"/>
        </c:marker>
      </c:pivotFmt>
      <c:pivotFmt>
        <c:idx val="155"/>
        <c:spPr>
          <a:solidFill>
            <a:schemeClr val="accent4"/>
          </a:solidFill>
          <a:ln w="25400">
            <a:noFill/>
          </a:ln>
          <a:effectLst/>
        </c:spPr>
        <c:marker>
          <c:symbol val="none"/>
        </c:marker>
      </c:pivotFmt>
      <c:pivotFmt>
        <c:idx val="156"/>
        <c:spPr>
          <a:solidFill>
            <a:schemeClr val="accent4"/>
          </a:solidFill>
          <a:ln w="25400">
            <a:noFill/>
          </a:ln>
          <a:effectLst/>
        </c:spPr>
        <c:marker>
          <c:symbol val="none"/>
        </c:marker>
      </c:pivotFmt>
      <c:pivotFmt>
        <c:idx val="157"/>
        <c:spPr>
          <a:solidFill>
            <a:schemeClr val="accent4"/>
          </a:solidFill>
          <a:ln w="25400">
            <a:noFill/>
          </a:ln>
          <a:effectLst/>
        </c:spPr>
        <c:marker>
          <c:symbol val="none"/>
        </c:marker>
      </c:pivotFmt>
      <c:pivotFmt>
        <c:idx val="158"/>
        <c:spPr>
          <a:solidFill>
            <a:schemeClr val="accent4"/>
          </a:solidFill>
          <a:ln w="25400">
            <a:noFill/>
          </a:ln>
          <a:effectLst/>
        </c:spPr>
        <c:marker>
          <c:symbol val="none"/>
        </c:marker>
      </c:pivotFmt>
      <c:pivotFmt>
        <c:idx val="159"/>
        <c:spPr>
          <a:solidFill>
            <a:schemeClr val="accent4"/>
          </a:solidFill>
          <a:ln w="25400">
            <a:noFill/>
          </a:ln>
          <a:effectLst/>
        </c:spPr>
        <c:marker>
          <c:symbol val="none"/>
        </c:marker>
      </c:pivotFmt>
      <c:pivotFmt>
        <c:idx val="160"/>
        <c:spPr>
          <a:solidFill>
            <a:schemeClr val="accent4"/>
          </a:solidFill>
          <a:ln w="25400">
            <a:noFill/>
          </a:ln>
          <a:effectLst/>
        </c:spPr>
        <c:marker>
          <c:symbol val="none"/>
        </c:marker>
      </c:pivotFmt>
      <c:pivotFmt>
        <c:idx val="161"/>
        <c:spPr>
          <a:solidFill>
            <a:schemeClr val="accent4"/>
          </a:solidFill>
          <a:ln w="25400">
            <a:noFill/>
          </a:ln>
          <a:effectLst/>
        </c:spPr>
        <c:marker>
          <c:symbol val="none"/>
        </c:marker>
      </c:pivotFmt>
      <c:pivotFmt>
        <c:idx val="162"/>
        <c:spPr>
          <a:solidFill>
            <a:schemeClr val="accent4"/>
          </a:solidFill>
          <a:ln w="25400">
            <a:noFill/>
          </a:ln>
          <a:effectLst/>
        </c:spPr>
        <c:marker>
          <c:symbol val="none"/>
        </c:marker>
      </c:pivotFmt>
      <c:pivotFmt>
        <c:idx val="163"/>
        <c:spPr>
          <a:solidFill>
            <a:schemeClr val="accent4"/>
          </a:solidFill>
          <a:ln w="25400">
            <a:noFill/>
          </a:ln>
          <a:effectLst/>
        </c:spPr>
        <c:marker>
          <c:symbol val="none"/>
        </c:marker>
      </c:pivotFmt>
      <c:pivotFmt>
        <c:idx val="164"/>
        <c:spPr>
          <a:solidFill>
            <a:schemeClr val="accent4"/>
          </a:solidFill>
          <a:ln w="25400">
            <a:noFill/>
          </a:ln>
          <a:effectLst/>
        </c:spPr>
        <c:marker>
          <c:symbol val="none"/>
        </c:marker>
      </c:pivotFmt>
      <c:pivotFmt>
        <c:idx val="165"/>
        <c:spPr>
          <a:solidFill>
            <a:schemeClr val="accent4"/>
          </a:solidFill>
          <a:ln w="25400">
            <a:noFill/>
          </a:ln>
          <a:effectLst/>
        </c:spPr>
        <c:marker>
          <c:symbol val="none"/>
        </c:marker>
      </c:pivotFmt>
      <c:pivotFmt>
        <c:idx val="166"/>
        <c:spPr>
          <a:solidFill>
            <a:schemeClr val="accent4"/>
          </a:solidFill>
          <a:ln w="25400">
            <a:noFill/>
          </a:ln>
          <a:effectLst/>
        </c:spPr>
        <c:marker>
          <c:symbol val="none"/>
        </c:marker>
      </c:pivotFmt>
      <c:pivotFmt>
        <c:idx val="167"/>
        <c:spPr>
          <a:solidFill>
            <a:schemeClr val="accent4"/>
          </a:solidFill>
          <a:ln w="25400">
            <a:noFill/>
          </a:ln>
          <a:effectLst/>
        </c:spPr>
        <c:marker>
          <c:symbol val="none"/>
        </c:marker>
      </c:pivotFmt>
      <c:pivotFmt>
        <c:idx val="168"/>
        <c:spPr>
          <a:solidFill>
            <a:schemeClr val="accent4"/>
          </a:solidFill>
          <a:ln w="25400">
            <a:noFill/>
          </a:ln>
          <a:effectLst/>
        </c:spPr>
        <c:marker>
          <c:symbol val="none"/>
        </c:marker>
      </c:pivotFmt>
      <c:pivotFmt>
        <c:idx val="169"/>
        <c:spPr>
          <a:solidFill>
            <a:schemeClr val="accent4"/>
          </a:solidFill>
          <a:ln w="25400">
            <a:noFill/>
          </a:ln>
          <a:effectLst/>
        </c:spPr>
        <c:marker>
          <c:symbol val="none"/>
        </c:marker>
      </c:pivotFmt>
      <c:pivotFmt>
        <c:idx val="170"/>
        <c:spPr>
          <a:solidFill>
            <a:schemeClr val="accent4"/>
          </a:solidFill>
          <a:ln w="25400">
            <a:noFill/>
          </a:ln>
          <a:effectLst/>
        </c:spPr>
        <c:marker>
          <c:symbol val="none"/>
        </c:marker>
      </c:pivotFmt>
      <c:pivotFmt>
        <c:idx val="171"/>
        <c:spPr>
          <a:solidFill>
            <a:schemeClr val="accent4"/>
          </a:solidFill>
          <a:ln w="25400">
            <a:noFill/>
          </a:ln>
          <a:effectLst/>
        </c:spPr>
        <c:marker>
          <c:symbol val="none"/>
        </c:marker>
      </c:pivotFmt>
      <c:pivotFmt>
        <c:idx val="172"/>
        <c:spPr>
          <a:solidFill>
            <a:schemeClr val="accent4"/>
          </a:solidFill>
          <a:ln w="25400">
            <a:noFill/>
          </a:ln>
          <a:effectLst/>
        </c:spPr>
        <c:marker>
          <c:symbol val="none"/>
        </c:marker>
      </c:pivotFmt>
      <c:pivotFmt>
        <c:idx val="173"/>
        <c:spPr>
          <a:solidFill>
            <a:schemeClr val="accent4"/>
          </a:solidFill>
          <a:ln w="25400">
            <a:noFill/>
          </a:ln>
          <a:effectLst/>
        </c:spPr>
        <c:marker>
          <c:symbol val="none"/>
        </c:marker>
      </c:pivotFmt>
      <c:pivotFmt>
        <c:idx val="174"/>
        <c:spPr>
          <a:solidFill>
            <a:schemeClr val="accent4"/>
          </a:solidFill>
          <a:ln w="25400">
            <a:noFill/>
          </a:ln>
          <a:effectLst/>
        </c:spPr>
        <c:marker>
          <c:symbol val="none"/>
        </c:marker>
      </c:pivotFmt>
      <c:pivotFmt>
        <c:idx val="175"/>
        <c:spPr>
          <a:solidFill>
            <a:schemeClr val="accent4"/>
          </a:solidFill>
          <a:ln w="25400">
            <a:noFill/>
          </a:ln>
          <a:effectLst/>
        </c:spPr>
        <c:marker>
          <c:symbol val="none"/>
        </c:marker>
      </c:pivotFmt>
      <c:pivotFmt>
        <c:idx val="176"/>
        <c:spPr>
          <a:solidFill>
            <a:schemeClr val="accent4"/>
          </a:solidFill>
          <a:ln w="25400">
            <a:noFill/>
          </a:ln>
          <a:effectLst/>
        </c:spPr>
        <c:marker>
          <c:symbol val="none"/>
        </c:marker>
      </c:pivotFmt>
      <c:pivotFmt>
        <c:idx val="177"/>
        <c:spPr>
          <a:solidFill>
            <a:schemeClr val="accent4"/>
          </a:solidFill>
          <a:ln w="25400">
            <a:noFill/>
          </a:ln>
          <a:effectLst/>
        </c:spPr>
        <c:marker>
          <c:symbol val="none"/>
        </c:marker>
      </c:pivotFmt>
      <c:pivotFmt>
        <c:idx val="178"/>
        <c:spPr>
          <a:solidFill>
            <a:schemeClr val="accent4"/>
          </a:solidFill>
          <a:ln w="25400">
            <a:noFill/>
          </a:ln>
          <a:effectLst/>
        </c:spPr>
        <c:marker>
          <c:symbol val="none"/>
        </c:marker>
      </c:pivotFmt>
      <c:pivotFmt>
        <c:idx val="179"/>
        <c:spPr>
          <a:solidFill>
            <a:schemeClr val="accent4"/>
          </a:solidFill>
          <a:ln w="25400">
            <a:noFill/>
          </a:ln>
          <a:effectLst/>
        </c:spPr>
        <c:marker>
          <c:symbol val="none"/>
        </c:marker>
      </c:pivotFmt>
      <c:pivotFmt>
        <c:idx val="180"/>
        <c:spPr>
          <a:solidFill>
            <a:schemeClr val="accent4"/>
          </a:solidFill>
          <a:ln w="25400">
            <a:noFill/>
          </a:ln>
          <a:effectLst/>
        </c:spPr>
        <c:marker>
          <c:symbol val="none"/>
        </c:marker>
      </c:pivotFmt>
      <c:pivotFmt>
        <c:idx val="181"/>
        <c:spPr>
          <a:solidFill>
            <a:schemeClr val="accent4"/>
          </a:solidFill>
          <a:ln w="25400">
            <a:noFill/>
          </a:ln>
          <a:effectLst/>
        </c:spPr>
        <c:marker>
          <c:symbol val="none"/>
        </c:marker>
      </c:pivotFmt>
      <c:pivotFmt>
        <c:idx val="182"/>
        <c:spPr>
          <a:solidFill>
            <a:schemeClr val="accent4"/>
          </a:solidFill>
          <a:ln w="25400">
            <a:noFill/>
          </a:ln>
          <a:effectLst/>
        </c:spPr>
        <c:marker>
          <c:symbol val="none"/>
        </c:marker>
      </c:pivotFmt>
      <c:pivotFmt>
        <c:idx val="183"/>
        <c:spPr>
          <a:solidFill>
            <a:schemeClr val="accent4"/>
          </a:solidFill>
          <a:ln w="25400">
            <a:noFill/>
          </a:ln>
          <a:effectLst/>
        </c:spPr>
        <c:marker>
          <c:symbol val="none"/>
        </c:marker>
      </c:pivotFmt>
      <c:pivotFmt>
        <c:idx val="184"/>
        <c:spPr>
          <a:solidFill>
            <a:schemeClr val="accent4"/>
          </a:solidFill>
          <a:ln w="25400">
            <a:noFill/>
          </a:ln>
          <a:effectLst/>
        </c:spPr>
        <c:marker>
          <c:symbol val="none"/>
        </c:marker>
      </c:pivotFmt>
      <c:pivotFmt>
        <c:idx val="185"/>
        <c:spPr>
          <a:solidFill>
            <a:schemeClr val="accent4"/>
          </a:solidFill>
          <a:ln w="25400">
            <a:noFill/>
          </a:ln>
          <a:effectLst/>
        </c:spPr>
        <c:marker>
          <c:symbol val="none"/>
        </c:marker>
      </c:pivotFmt>
      <c:pivotFmt>
        <c:idx val="186"/>
        <c:spPr>
          <a:solidFill>
            <a:schemeClr val="accent4"/>
          </a:solidFill>
          <a:ln w="25400">
            <a:noFill/>
          </a:ln>
          <a:effectLst/>
        </c:spPr>
        <c:marker>
          <c:symbol val="none"/>
        </c:marker>
      </c:pivotFmt>
      <c:pivotFmt>
        <c:idx val="187"/>
        <c:spPr>
          <a:solidFill>
            <a:schemeClr val="accent4"/>
          </a:solidFill>
          <a:ln w="25400">
            <a:noFill/>
          </a:ln>
          <a:effectLst/>
        </c:spPr>
        <c:marker>
          <c:symbol val="none"/>
        </c:marker>
      </c:pivotFmt>
      <c:pivotFmt>
        <c:idx val="188"/>
        <c:spPr>
          <a:solidFill>
            <a:schemeClr val="accent4"/>
          </a:solidFill>
          <a:ln w="25400">
            <a:noFill/>
          </a:ln>
          <a:effectLst/>
        </c:spPr>
        <c:marker>
          <c:symbol val="none"/>
        </c:marker>
      </c:pivotFmt>
      <c:pivotFmt>
        <c:idx val="189"/>
        <c:spPr>
          <a:solidFill>
            <a:schemeClr val="accent4"/>
          </a:solidFill>
          <a:ln w="25400">
            <a:noFill/>
          </a:ln>
          <a:effectLst/>
        </c:spPr>
        <c:marker>
          <c:symbol val="none"/>
        </c:marker>
      </c:pivotFmt>
      <c:pivotFmt>
        <c:idx val="190"/>
        <c:spPr>
          <a:solidFill>
            <a:schemeClr val="accent4"/>
          </a:solidFill>
          <a:ln w="25400">
            <a:noFill/>
          </a:ln>
          <a:effectLst/>
        </c:spPr>
        <c:marker>
          <c:symbol val="none"/>
        </c:marker>
      </c:pivotFmt>
      <c:pivotFmt>
        <c:idx val="191"/>
        <c:spPr>
          <a:solidFill>
            <a:schemeClr val="accent4"/>
          </a:solidFill>
          <a:ln w="25400">
            <a:noFill/>
          </a:ln>
          <a:effectLst/>
        </c:spPr>
        <c:marker>
          <c:symbol val="none"/>
        </c:marker>
      </c:pivotFmt>
      <c:pivotFmt>
        <c:idx val="192"/>
        <c:spPr>
          <a:solidFill>
            <a:schemeClr val="accent4"/>
          </a:solidFill>
          <a:ln w="25400">
            <a:noFill/>
          </a:ln>
          <a:effectLst/>
        </c:spPr>
        <c:marker>
          <c:symbol val="none"/>
        </c:marker>
      </c:pivotFmt>
      <c:pivotFmt>
        <c:idx val="193"/>
        <c:spPr>
          <a:solidFill>
            <a:schemeClr val="accent4"/>
          </a:solidFill>
          <a:ln w="25400">
            <a:noFill/>
          </a:ln>
          <a:effectLst/>
        </c:spPr>
        <c:marker>
          <c:symbol val="none"/>
        </c:marker>
      </c:pivotFmt>
      <c:pivotFmt>
        <c:idx val="194"/>
        <c:spPr>
          <a:solidFill>
            <a:schemeClr val="accent4"/>
          </a:solidFill>
          <a:ln w="25400">
            <a:noFill/>
          </a:ln>
          <a:effectLst/>
        </c:spPr>
        <c:marker>
          <c:symbol val="none"/>
        </c:marker>
      </c:pivotFmt>
      <c:pivotFmt>
        <c:idx val="195"/>
        <c:spPr>
          <a:solidFill>
            <a:schemeClr val="accent4"/>
          </a:solidFill>
          <a:ln w="25400">
            <a:noFill/>
          </a:ln>
          <a:effectLst/>
        </c:spPr>
        <c:marker>
          <c:symbol val="none"/>
        </c:marker>
      </c:pivotFmt>
      <c:pivotFmt>
        <c:idx val="196"/>
        <c:spPr>
          <a:solidFill>
            <a:schemeClr val="accent4"/>
          </a:solidFill>
          <a:ln w="25400">
            <a:noFill/>
          </a:ln>
          <a:effectLst/>
        </c:spPr>
        <c:marker>
          <c:symbol val="none"/>
        </c:marker>
      </c:pivotFmt>
      <c:pivotFmt>
        <c:idx val="197"/>
        <c:spPr>
          <a:solidFill>
            <a:schemeClr val="accent4"/>
          </a:solidFill>
          <a:ln w="25400">
            <a:noFill/>
          </a:ln>
          <a:effectLst/>
        </c:spPr>
        <c:marker>
          <c:symbol val="none"/>
        </c:marker>
      </c:pivotFmt>
      <c:pivotFmt>
        <c:idx val="198"/>
        <c:spPr>
          <a:solidFill>
            <a:schemeClr val="accent4"/>
          </a:solidFill>
          <a:ln w="25400">
            <a:noFill/>
          </a:ln>
          <a:effectLst/>
        </c:spPr>
        <c:marker>
          <c:symbol val="none"/>
        </c:marker>
      </c:pivotFmt>
      <c:pivotFmt>
        <c:idx val="199"/>
        <c:spPr>
          <a:solidFill>
            <a:schemeClr val="accent4"/>
          </a:solidFill>
          <a:ln w="25400">
            <a:noFill/>
          </a:ln>
          <a:effectLst/>
        </c:spPr>
        <c:marker>
          <c:symbol val="none"/>
        </c:marker>
      </c:pivotFmt>
      <c:pivotFmt>
        <c:idx val="200"/>
        <c:spPr>
          <a:solidFill>
            <a:schemeClr val="accent4"/>
          </a:solidFill>
          <a:ln w="25400">
            <a:noFill/>
          </a:ln>
          <a:effectLst/>
        </c:spPr>
        <c:marker>
          <c:symbol val="none"/>
        </c:marker>
      </c:pivotFmt>
      <c:pivotFmt>
        <c:idx val="201"/>
        <c:spPr>
          <a:solidFill>
            <a:schemeClr val="accent4"/>
          </a:solidFill>
          <a:ln w="25400">
            <a:noFill/>
          </a:ln>
          <a:effectLst/>
        </c:spPr>
        <c:marker>
          <c:symbol val="none"/>
        </c:marker>
      </c:pivotFmt>
      <c:pivotFmt>
        <c:idx val="202"/>
        <c:spPr>
          <a:solidFill>
            <a:schemeClr val="accent4"/>
          </a:solidFill>
          <a:ln w="25400">
            <a:noFill/>
          </a:ln>
          <a:effectLst/>
        </c:spPr>
        <c:marker>
          <c:symbol val="none"/>
        </c:marker>
      </c:pivotFmt>
      <c:pivotFmt>
        <c:idx val="203"/>
        <c:spPr>
          <a:solidFill>
            <a:schemeClr val="accent4"/>
          </a:solidFill>
          <a:ln w="25400">
            <a:noFill/>
          </a:ln>
          <a:effectLst/>
        </c:spPr>
        <c:marker>
          <c:symbol val="none"/>
        </c:marker>
      </c:pivotFmt>
      <c:pivotFmt>
        <c:idx val="204"/>
        <c:spPr>
          <a:solidFill>
            <a:schemeClr val="accent4"/>
          </a:solidFill>
          <a:ln w="25400">
            <a:noFill/>
          </a:ln>
          <a:effectLst/>
        </c:spPr>
        <c:marker>
          <c:symbol val="none"/>
        </c:marker>
      </c:pivotFmt>
      <c:pivotFmt>
        <c:idx val="205"/>
        <c:spPr>
          <a:solidFill>
            <a:schemeClr val="accent4"/>
          </a:solidFill>
          <a:ln w="25400">
            <a:noFill/>
          </a:ln>
          <a:effectLst/>
        </c:spPr>
        <c:marker>
          <c:symbol val="none"/>
        </c:marker>
      </c:pivotFmt>
      <c:pivotFmt>
        <c:idx val="206"/>
        <c:spPr>
          <a:solidFill>
            <a:schemeClr val="accent4"/>
          </a:solidFill>
          <a:ln w="25400">
            <a:noFill/>
          </a:ln>
          <a:effectLst/>
        </c:spPr>
        <c:marker>
          <c:symbol val="none"/>
        </c:marker>
      </c:pivotFmt>
      <c:pivotFmt>
        <c:idx val="207"/>
        <c:spPr>
          <a:solidFill>
            <a:schemeClr val="accent4"/>
          </a:solidFill>
          <a:ln w="25400">
            <a:noFill/>
          </a:ln>
          <a:effectLst/>
        </c:spPr>
        <c:marker>
          <c:symbol val="none"/>
        </c:marker>
      </c:pivotFmt>
      <c:pivotFmt>
        <c:idx val="208"/>
        <c:spPr>
          <a:solidFill>
            <a:schemeClr val="accent4"/>
          </a:solidFill>
          <a:ln w="25400">
            <a:noFill/>
          </a:ln>
          <a:effectLst/>
        </c:spPr>
        <c:marker>
          <c:symbol val="none"/>
        </c:marker>
      </c:pivotFmt>
      <c:pivotFmt>
        <c:idx val="209"/>
        <c:spPr>
          <a:solidFill>
            <a:schemeClr val="accent4"/>
          </a:solidFill>
          <a:ln w="25400">
            <a:noFill/>
          </a:ln>
          <a:effectLst/>
        </c:spPr>
        <c:marker>
          <c:symbol val="none"/>
        </c:marker>
      </c:pivotFmt>
      <c:pivotFmt>
        <c:idx val="210"/>
        <c:spPr>
          <a:solidFill>
            <a:schemeClr val="accent4"/>
          </a:solidFill>
          <a:ln w="25400">
            <a:noFill/>
          </a:ln>
          <a:effectLst/>
        </c:spPr>
        <c:marker>
          <c:symbol val="none"/>
        </c:marker>
      </c:pivotFmt>
      <c:pivotFmt>
        <c:idx val="211"/>
        <c:spPr>
          <a:solidFill>
            <a:schemeClr val="accent4"/>
          </a:solidFill>
          <a:ln w="25400">
            <a:noFill/>
          </a:ln>
          <a:effectLst/>
        </c:spPr>
        <c:marker>
          <c:symbol val="none"/>
        </c:marker>
      </c:pivotFmt>
      <c:pivotFmt>
        <c:idx val="212"/>
        <c:spPr>
          <a:solidFill>
            <a:schemeClr val="accent4"/>
          </a:solidFill>
          <a:ln w="25400">
            <a:noFill/>
          </a:ln>
          <a:effectLst/>
        </c:spPr>
        <c:marker>
          <c:symbol val="none"/>
        </c:marker>
      </c:pivotFmt>
      <c:pivotFmt>
        <c:idx val="213"/>
        <c:spPr>
          <a:solidFill>
            <a:schemeClr val="accent4"/>
          </a:solidFill>
          <a:ln w="25400">
            <a:noFill/>
          </a:ln>
          <a:effectLst/>
        </c:spPr>
        <c:marker>
          <c:symbol val="none"/>
        </c:marker>
      </c:pivotFmt>
      <c:pivotFmt>
        <c:idx val="214"/>
        <c:spPr>
          <a:solidFill>
            <a:schemeClr val="accent4"/>
          </a:solidFill>
          <a:ln w="25400">
            <a:noFill/>
          </a:ln>
          <a:effectLst/>
        </c:spPr>
        <c:marker>
          <c:symbol val="none"/>
        </c:marker>
      </c:pivotFmt>
      <c:pivotFmt>
        <c:idx val="215"/>
        <c:spPr>
          <a:solidFill>
            <a:schemeClr val="accent4"/>
          </a:solidFill>
          <a:ln w="25400">
            <a:noFill/>
          </a:ln>
          <a:effectLst/>
        </c:spPr>
        <c:marker>
          <c:symbol val="none"/>
        </c:marker>
      </c:pivotFmt>
      <c:pivotFmt>
        <c:idx val="216"/>
        <c:spPr>
          <a:solidFill>
            <a:schemeClr val="accent4"/>
          </a:solidFill>
          <a:ln w="25400">
            <a:noFill/>
          </a:ln>
          <a:effectLst/>
        </c:spPr>
        <c:marker>
          <c:symbol val="none"/>
        </c:marker>
      </c:pivotFmt>
      <c:pivotFmt>
        <c:idx val="217"/>
        <c:spPr>
          <a:solidFill>
            <a:schemeClr val="accent4"/>
          </a:solidFill>
          <a:ln w="25400">
            <a:noFill/>
          </a:ln>
          <a:effectLst/>
        </c:spPr>
        <c:marker>
          <c:symbol val="none"/>
        </c:marker>
      </c:pivotFmt>
      <c:pivotFmt>
        <c:idx val="218"/>
        <c:spPr>
          <a:solidFill>
            <a:schemeClr val="accent4"/>
          </a:solidFill>
          <a:ln w="25400">
            <a:noFill/>
          </a:ln>
          <a:effectLst/>
        </c:spPr>
        <c:marker>
          <c:symbol val="none"/>
        </c:marker>
      </c:pivotFmt>
      <c:pivotFmt>
        <c:idx val="219"/>
        <c:spPr>
          <a:solidFill>
            <a:schemeClr val="accent4"/>
          </a:solidFill>
          <a:ln w="25400">
            <a:noFill/>
          </a:ln>
          <a:effectLst/>
        </c:spPr>
        <c:marker>
          <c:symbol val="none"/>
        </c:marker>
      </c:pivotFmt>
      <c:pivotFmt>
        <c:idx val="220"/>
        <c:spPr>
          <a:solidFill>
            <a:schemeClr val="accent4"/>
          </a:solidFill>
          <a:ln w="25400">
            <a:noFill/>
          </a:ln>
          <a:effectLst/>
        </c:spPr>
        <c:marker>
          <c:symbol val="none"/>
        </c:marker>
      </c:pivotFmt>
      <c:pivotFmt>
        <c:idx val="221"/>
        <c:spPr>
          <a:solidFill>
            <a:schemeClr val="accent4"/>
          </a:solidFill>
          <a:ln w="25400">
            <a:noFill/>
          </a:ln>
          <a:effectLst/>
        </c:spPr>
        <c:marker>
          <c:symbol val="none"/>
        </c:marker>
      </c:pivotFmt>
      <c:pivotFmt>
        <c:idx val="222"/>
        <c:spPr>
          <a:solidFill>
            <a:schemeClr val="accent4"/>
          </a:solidFill>
          <a:ln w="25400">
            <a:noFill/>
          </a:ln>
          <a:effectLst/>
        </c:spPr>
        <c:marker>
          <c:symbol val="none"/>
        </c:marker>
      </c:pivotFmt>
      <c:pivotFmt>
        <c:idx val="223"/>
        <c:spPr>
          <a:solidFill>
            <a:schemeClr val="accent4"/>
          </a:solidFill>
          <a:ln w="25400">
            <a:noFill/>
          </a:ln>
          <a:effectLst/>
        </c:spPr>
        <c:marker>
          <c:symbol val="none"/>
        </c:marker>
      </c:pivotFmt>
      <c:pivotFmt>
        <c:idx val="224"/>
        <c:spPr>
          <a:solidFill>
            <a:schemeClr val="accent4"/>
          </a:solidFill>
          <a:ln w="25400">
            <a:noFill/>
          </a:ln>
          <a:effectLst/>
        </c:spPr>
        <c:marker>
          <c:symbol val="none"/>
        </c:marker>
      </c:pivotFmt>
      <c:pivotFmt>
        <c:idx val="225"/>
        <c:spPr>
          <a:solidFill>
            <a:schemeClr val="accent4"/>
          </a:solidFill>
          <a:ln w="25400">
            <a:noFill/>
          </a:ln>
          <a:effectLst/>
        </c:spPr>
        <c:marker>
          <c:symbol val="none"/>
        </c:marker>
      </c:pivotFmt>
      <c:pivotFmt>
        <c:idx val="226"/>
        <c:spPr>
          <a:solidFill>
            <a:schemeClr val="accent4"/>
          </a:solidFill>
          <a:ln w="25400">
            <a:noFill/>
          </a:ln>
          <a:effectLst/>
        </c:spPr>
        <c:marker>
          <c:symbol val="none"/>
        </c:marker>
      </c:pivotFmt>
      <c:pivotFmt>
        <c:idx val="227"/>
        <c:spPr>
          <a:solidFill>
            <a:schemeClr val="accent4"/>
          </a:solidFill>
          <a:ln w="25400">
            <a:noFill/>
          </a:ln>
          <a:effectLst/>
        </c:spPr>
        <c:marker>
          <c:symbol val="none"/>
        </c:marker>
      </c:pivotFmt>
      <c:pivotFmt>
        <c:idx val="228"/>
        <c:spPr>
          <a:solidFill>
            <a:schemeClr val="accent4"/>
          </a:solidFill>
          <a:ln w="25400">
            <a:noFill/>
          </a:ln>
          <a:effectLst/>
        </c:spPr>
        <c:marker>
          <c:symbol val="none"/>
        </c:marker>
      </c:pivotFmt>
      <c:pivotFmt>
        <c:idx val="229"/>
        <c:spPr>
          <a:solidFill>
            <a:schemeClr val="accent4"/>
          </a:solidFill>
          <a:ln w="25400">
            <a:noFill/>
          </a:ln>
          <a:effectLst/>
        </c:spPr>
        <c:marker>
          <c:symbol val="none"/>
        </c:marker>
      </c:pivotFmt>
      <c:pivotFmt>
        <c:idx val="230"/>
        <c:spPr>
          <a:solidFill>
            <a:schemeClr val="accent4"/>
          </a:solidFill>
          <a:ln w="25400">
            <a:noFill/>
          </a:ln>
          <a:effectLst/>
        </c:spPr>
        <c:marker>
          <c:symbol val="none"/>
        </c:marker>
      </c:pivotFmt>
      <c:pivotFmt>
        <c:idx val="231"/>
        <c:spPr>
          <a:solidFill>
            <a:schemeClr val="accent4"/>
          </a:solidFill>
          <a:ln w="25400">
            <a:noFill/>
          </a:ln>
          <a:effectLst/>
        </c:spPr>
        <c:marker>
          <c:symbol val="none"/>
        </c:marker>
      </c:pivotFmt>
      <c:pivotFmt>
        <c:idx val="232"/>
        <c:spPr>
          <a:solidFill>
            <a:schemeClr val="accent4"/>
          </a:solidFill>
          <a:ln w="25400">
            <a:noFill/>
          </a:ln>
          <a:effectLst/>
        </c:spPr>
        <c:marker>
          <c:symbol val="none"/>
        </c:marker>
      </c:pivotFmt>
      <c:pivotFmt>
        <c:idx val="233"/>
        <c:spPr>
          <a:solidFill>
            <a:schemeClr val="accent4"/>
          </a:solidFill>
          <a:ln w="25400">
            <a:noFill/>
          </a:ln>
          <a:effectLst/>
        </c:spPr>
        <c:marker>
          <c:symbol val="none"/>
        </c:marker>
      </c:pivotFmt>
      <c:pivotFmt>
        <c:idx val="234"/>
        <c:spPr>
          <a:solidFill>
            <a:schemeClr val="accent4"/>
          </a:solidFill>
          <a:ln w="25400">
            <a:noFill/>
          </a:ln>
          <a:effectLst/>
        </c:spPr>
        <c:marker>
          <c:symbol val="none"/>
        </c:marker>
      </c:pivotFmt>
      <c:pivotFmt>
        <c:idx val="235"/>
        <c:spPr>
          <a:solidFill>
            <a:schemeClr val="accent4"/>
          </a:solidFill>
          <a:ln w="25400">
            <a:noFill/>
          </a:ln>
          <a:effectLst/>
        </c:spPr>
        <c:marker>
          <c:symbol val="none"/>
        </c:marker>
      </c:pivotFmt>
      <c:pivotFmt>
        <c:idx val="236"/>
        <c:spPr>
          <a:solidFill>
            <a:schemeClr val="accent4"/>
          </a:solidFill>
          <a:ln w="25400">
            <a:noFill/>
          </a:ln>
          <a:effectLst/>
        </c:spPr>
        <c:marker>
          <c:symbol val="none"/>
        </c:marker>
      </c:pivotFmt>
      <c:pivotFmt>
        <c:idx val="237"/>
        <c:spPr>
          <a:solidFill>
            <a:schemeClr val="accent4"/>
          </a:solidFill>
          <a:ln w="25400">
            <a:noFill/>
          </a:ln>
          <a:effectLst/>
        </c:spPr>
        <c:marker>
          <c:symbol val="none"/>
        </c:marker>
      </c:pivotFmt>
      <c:pivotFmt>
        <c:idx val="238"/>
        <c:spPr>
          <a:solidFill>
            <a:schemeClr val="accent4"/>
          </a:solidFill>
          <a:ln w="25400">
            <a:noFill/>
          </a:ln>
          <a:effectLst/>
        </c:spPr>
        <c:marker>
          <c:symbol val="none"/>
        </c:marker>
      </c:pivotFmt>
      <c:pivotFmt>
        <c:idx val="239"/>
        <c:spPr>
          <a:solidFill>
            <a:schemeClr val="accent4"/>
          </a:solidFill>
          <a:ln w="25400">
            <a:noFill/>
          </a:ln>
          <a:effectLst/>
        </c:spPr>
        <c:marker>
          <c:symbol val="none"/>
        </c:marker>
      </c:pivotFmt>
      <c:pivotFmt>
        <c:idx val="240"/>
        <c:spPr>
          <a:solidFill>
            <a:schemeClr val="accent4"/>
          </a:solidFill>
          <a:ln w="25400">
            <a:noFill/>
          </a:ln>
          <a:effectLst/>
        </c:spPr>
        <c:marker>
          <c:symbol val="none"/>
        </c:marker>
      </c:pivotFmt>
      <c:pivotFmt>
        <c:idx val="241"/>
        <c:spPr>
          <a:solidFill>
            <a:schemeClr val="accent4"/>
          </a:solidFill>
          <a:ln w="25400">
            <a:noFill/>
          </a:ln>
          <a:effectLst/>
        </c:spPr>
        <c:marker>
          <c:symbol val="none"/>
        </c:marker>
      </c:pivotFmt>
      <c:pivotFmt>
        <c:idx val="242"/>
        <c:spPr>
          <a:solidFill>
            <a:schemeClr val="accent4"/>
          </a:solidFill>
          <a:ln w="25400">
            <a:noFill/>
          </a:ln>
          <a:effectLst/>
        </c:spPr>
        <c:marker>
          <c:symbol val="none"/>
        </c:marker>
      </c:pivotFmt>
      <c:pivotFmt>
        <c:idx val="243"/>
        <c:spPr>
          <a:solidFill>
            <a:schemeClr val="accent4"/>
          </a:solidFill>
          <a:ln w="25400">
            <a:noFill/>
          </a:ln>
          <a:effectLst/>
        </c:spPr>
        <c:marker>
          <c:symbol val="none"/>
        </c:marker>
      </c:pivotFmt>
      <c:pivotFmt>
        <c:idx val="244"/>
        <c:spPr>
          <a:solidFill>
            <a:schemeClr val="accent4"/>
          </a:solidFill>
          <a:ln w="25400">
            <a:noFill/>
          </a:ln>
          <a:effectLst/>
        </c:spPr>
        <c:marker>
          <c:symbol val="none"/>
        </c:marker>
      </c:pivotFmt>
      <c:pivotFmt>
        <c:idx val="245"/>
        <c:spPr>
          <a:solidFill>
            <a:schemeClr val="accent4"/>
          </a:solidFill>
          <a:ln w="25400">
            <a:noFill/>
          </a:ln>
          <a:effectLst/>
        </c:spPr>
        <c:marker>
          <c:symbol val="none"/>
        </c:marker>
      </c:pivotFmt>
      <c:pivotFmt>
        <c:idx val="246"/>
        <c:spPr>
          <a:solidFill>
            <a:schemeClr val="accent4"/>
          </a:solidFill>
          <a:ln w="25400">
            <a:noFill/>
          </a:ln>
          <a:effectLst/>
        </c:spPr>
        <c:marker>
          <c:symbol val="none"/>
        </c:marker>
      </c:pivotFmt>
      <c:pivotFmt>
        <c:idx val="247"/>
        <c:spPr>
          <a:solidFill>
            <a:schemeClr val="accent4"/>
          </a:solidFill>
          <a:ln w="25400">
            <a:noFill/>
          </a:ln>
          <a:effectLst/>
        </c:spPr>
        <c:marker>
          <c:symbol val="none"/>
        </c:marker>
      </c:pivotFmt>
      <c:pivotFmt>
        <c:idx val="248"/>
        <c:spPr>
          <a:solidFill>
            <a:schemeClr val="accent4"/>
          </a:solidFill>
          <a:ln w="25400">
            <a:noFill/>
          </a:ln>
          <a:effectLst/>
        </c:spPr>
        <c:marker>
          <c:symbol val="none"/>
        </c:marker>
      </c:pivotFmt>
      <c:pivotFmt>
        <c:idx val="249"/>
        <c:spPr>
          <a:solidFill>
            <a:schemeClr val="accent4"/>
          </a:solidFill>
          <a:ln w="25400">
            <a:noFill/>
          </a:ln>
          <a:effectLst/>
        </c:spPr>
        <c:marker>
          <c:symbol val="none"/>
        </c:marker>
      </c:pivotFmt>
      <c:pivotFmt>
        <c:idx val="250"/>
        <c:spPr>
          <a:solidFill>
            <a:schemeClr val="accent4"/>
          </a:solidFill>
          <a:ln w="25400">
            <a:noFill/>
          </a:ln>
          <a:effectLst/>
        </c:spPr>
        <c:marker>
          <c:symbol val="none"/>
        </c:marker>
      </c:pivotFmt>
      <c:pivotFmt>
        <c:idx val="251"/>
        <c:spPr>
          <a:solidFill>
            <a:schemeClr val="accent4"/>
          </a:solidFill>
          <a:ln w="25400">
            <a:noFill/>
          </a:ln>
          <a:effectLst/>
        </c:spPr>
        <c:marker>
          <c:symbol val="none"/>
        </c:marker>
      </c:pivotFmt>
      <c:pivotFmt>
        <c:idx val="252"/>
        <c:spPr>
          <a:solidFill>
            <a:schemeClr val="accent4"/>
          </a:solidFill>
          <a:ln w="25400">
            <a:noFill/>
          </a:ln>
          <a:effectLst/>
        </c:spPr>
        <c:marker>
          <c:symbol val="none"/>
        </c:marker>
      </c:pivotFmt>
      <c:pivotFmt>
        <c:idx val="253"/>
        <c:spPr>
          <a:solidFill>
            <a:schemeClr val="accent4"/>
          </a:solidFill>
          <a:ln>
            <a:noFill/>
          </a:ln>
          <a:effectLst/>
        </c:spPr>
        <c:marker>
          <c:symbol val="none"/>
        </c:marker>
      </c:pivotFmt>
      <c:pivotFmt>
        <c:idx val="254"/>
        <c:spPr>
          <a:solidFill>
            <a:schemeClr val="accent4"/>
          </a:solidFill>
          <a:ln>
            <a:noFill/>
          </a:ln>
          <a:effectLst/>
        </c:spPr>
        <c:marker>
          <c:symbol val="none"/>
        </c:marker>
      </c:pivotFmt>
      <c:pivotFmt>
        <c:idx val="255"/>
        <c:spPr>
          <a:solidFill>
            <a:schemeClr val="accent4"/>
          </a:solidFill>
          <a:ln w="25400">
            <a:noFill/>
          </a:ln>
          <a:effectLst/>
        </c:spPr>
        <c:marker>
          <c:symbol val="none"/>
        </c:marker>
      </c:pivotFmt>
      <c:pivotFmt>
        <c:idx val="256"/>
        <c:spPr>
          <a:solidFill>
            <a:schemeClr val="accent4"/>
          </a:solidFill>
          <a:ln w="25400">
            <a:noFill/>
          </a:ln>
          <a:effectLst/>
        </c:spPr>
        <c:marker>
          <c:symbol val="none"/>
        </c:marker>
      </c:pivotFmt>
      <c:pivotFmt>
        <c:idx val="257"/>
        <c:spPr>
          <a:solidFill>
            <a:schemeClr val="accent4"/>
          </a:solidFill>
          <a:ln>
            <a:noFill/>
          </a:ln>
          <a:effectLst/>
        </c:spPr>
        <c:marker>
          <c:symbol val="none"/>
        </c:marker>
      </c:pivotFmt>
      <c:pivotFmt>
        <c:idx val="258"/>
        <c:spPr>
          <a:solidFill>
            <a:schemeClr val="accent4"/>
          </a:solidFill>
          <a:ln>
            <a:noFill/>
          </a:ln>
          <a:effectLst/>
        </c:spPr>
        <c:marker>
          <c:symbol val="none"/>
        </c:marker>
      </c:pivotFmt>
      <c:pivotFmt>
        <c:idx val="259"/>
        <c:spPr>
          <a:solidFill>
            <a:schemeClr val="accent4"/>
          </a:solidFill>
          <a:ln>
            <a:noFill/>
          </a:ln>
          <a:effectLst/>
        </c:spPr>
        <c:marker>
          <c:symbol val="none"/>
        </c:marker>
      </c:pivotFmt>
      <c:pivotFmt>
        <c:idx val="260"/>
        <c:spPr>
          <a:solidFill>
            <a:schemeClr val="accent4"/>
          </a:solidFill>
          <a:ln>
            <a:noFill/>
          </a:ln>
          <a:effectLst/>
        </c:spPr>
        <c:marker>
          <c:symbol val="none"/>
        </c:marker>
      </c:pivotFmt>
      <c:pivotFmt>
        <c:idx val="261"/>
        <c:spPr>
          <a:solidFill>
            <a:schemeClr val="accent4"/>
          </a:solidFill>
          <a:ln>
            <a:noFill/>
          </a:ln>
          <a:effectLst/>
        </c:spPr>
        <c:marker>
          <c:symbol val="none"/>
        </c:marker>
      </c:pivotFmt>
      <c:pivotFmt>
        <c:idx val="262"/>
        <c:spPr>
          <a:solidFill>
            <a:schemeClr val="accent4"/>
          </a:solidFill>
          <a:ln>
            <a:noFill/>
          </a:ln>
          <a:effectLst/>
        </c:spPr>
        <c:marker>
          <c:symbol val="none"/>
        </c:marker>
      </c:pivotFmt>
      <c:pivotFmt>
        <c:idx val="263"/>
        <c:spPr>
          <a:solidFill>
            <a:schemeClr val="accent4"/>
          </a:solidFill>
          <a:ln>
            <a:noFill/>
          </a:ln>
          <a:effectLst/>
        </c:spPr>
        <c:marker>
          <c:symbol val="none"/>
        </c:marker>
      </c:pivotFmt>
      <c:pivotFmt>
        <c:idx val="264"/>
        <c:spPr>
          <a:solidFill>
            <a:schemeClr val="accent4"/>
          </a:solidFill>
          <a:ln>
            <a:noFill/>
          </a:ln>
          <a:effectLst/>
        </c:spPr>
        <c:marker>
          <c:symbol val="none"/>
        </c:marker>
      </c:pivotFmt>
      <c:pivotFmt>
        <c:idx val="265"/>
        <c:spPr>
          <a:solidFill>
            <a:schemeClr val="accent4"/>
          </a:solidFill>
          <a:ln>
            <a:noFill/>
          </a:ln>
          <a:effectLst/>
        </c:spPr>
        <c:marker>
          <c:symbol val="none"/>
        </c:marker>
      </c:pivotFmt>
      <c:pivotFmt>
        <c:idx val="266"/>
        <c:spPr>
          <a:solidFill>
            <a:schemeClr val="accent4"/>
          </a:solidFill>
          <a:ln>
            <a:noFill/>
          </a:ln>
          <a:effectLst/>
        </c:spPr>
        <c:marker>
          <c:symbol val="none"/>
        </c:marker>
      </c:pivotFmt>
      <c:pivotFmt>
        <c:idx val="267"/>
        <c:spPr>
          <a:solidFill>
            <a:schemeClr val="accent4"/>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8"/>
        <c:spPr>
          <a:solidFill>
            <a:schemeClr val="accent4"/>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9"/>
        <c:spPr>
          <a:solidFill>
            <a:schemeClr val="accent4"/>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 tables'!$B$41:$B$42</c:f>
              <c:strCache>
                <c:ptCount val="1"/>
                <c:pt idx="0">
                  <c:v>Slow seller</c:v>
                </c:pt>
              </c:strCache>
            </c:strRef>
          </c:tx>
          <c:spPr>
            <a:solidFill>
              <a:schemeClr val="accent4">
                <a:shade val="6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tables'!$A$43:$A$46</c:f>
              <c:strCache>
                <c:ptCount val="3"/>
                <c:pt idx="0">
                  <c:v>Budget</c:v>
                </c:pt>
                <c:pt idx="1">
                  <c:v>Mid Range</c:v>
                </c:pt>
                <c:pt idx="2">
                  <c:v>Premimum</c:v>
                </c:pt>
              </c:strCache>
            </c:strRef>
          </c:cat>
          <c:val>
            <c:numRef>
              <c:f>'Pivot tables'!$B$43:$B$46</c:f>
              <c:numCache>
                <c:formatCode>General</c:formatCode>
                <c:ptCount val="3"/>
                <c:pt idx="0">
                  <c:v>62</c:v>
                </c:pt>
                <c:pt idx="1">
                  <c:v>7</c:v>
                </c:pt>
                <c:pt idx="2">
                  <c:v>2</c:v>
                </c:pt>
              </c:numCache>
            </c:numRef>
          </c:val>
        </c:ser>
        <c:ser>
          <c:idx val="1"/>
          <c:order val="1"/>
          <c:tx>
            <c:strRef>
              <c:f>'Pivot tables'!$C$41:$C$42</c:f>
              <c:strCache>
                <c:ptCount val="1"/>
                <c:pt idx="0">
                  <c:v>Average</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tables'!$A$43:$A$46</c:f>
              <c:strCache>
                <c:ptCount val="3"/>
                <c:pt idx="0">
                  <c:v>Budget</c:v>
                </c:pt>
                <c:pt idx="1">
                  <c:v>Mid Range</c:v>
                </c:pt>
                <c:pt idx="2">
                  <c:v>Premimum</c:v>
                </c:pt>
              </c:strCache>
            </c:strRef>
          </c:cat>
          <c:val>
            <c:numRef>
              <c:f>'Pivot tables'!$C$43:$C$46</c:f>
              <c:numCache>
                <c:formatCode>General</c:formatCode>
                <c:ptCount val="3"/>
                <c:pt idx="0">
                  <c:v>85</c:v>
                </c:pt>
                <c:pt idx="1">
                  <c:v>4</c:v>
                </c:pt>
                <c:pt idx="2">
                  <c:v>1</c:v>
                </c:pt>
              </c:numCache>
            </c:numRef>
          </c:val>
        </c:ser>
        <c:ser>
          <c:idx val="2"/>
          <c:order val="2"/>
          <c:tx>
            <c:strRef>
              <c:f>'Pivot tables'!$D$41:$D$42</c:f>
              <c:strCache>
                <c:ptCount val="1"/>
                <c:pt idx="0">
                  <c:v>Best Seller</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tables'!$A$43:$A$46</c:f>
              <c:strCache>
                <c:ptCount val="3"/>
                <c:pt idx="0">
                  <c:v>Budget</c:v>
                </c:pt>
                <c:pt idx="1">
                  <c:v>Mid Range</c:v>
                </c:pt>
                <c:pt idx="2">
                  <c:v>Premimum</c:v>
                </c:pt>
              </c:strCache>
            </c:strRef>
          </c:cat>
          <c:val>
            <c:numRef>
              <c:f>'Pivot tables'!$D$43:$D$46</c:f>
              <c:numCache>
                <c:formatCode>General</c:formatCode>
                <c:ptCount val="3"/>
                <c:pt idx="0">
                  <c:v>82</c:v>
                </c:pt>
                <c:pt idx="1">
                  <c:v>8</c:v>
                </c:pt>
                <c:pt idx="2">
                  <c:v>1</c:v>
                </c:pt>
              </c:numCache>
            </c:numRef>
          </c:val>
        </c:ser>
        <c:dLbls>
          <c:dLblPos val="ctr"/>
          <c:showLegendKey val="0"/>
          <c:showVal val="1"/>
          <c:showCatName val="0"/>
          <c:showSerName val="0"/>
          <c:showPercent val="0"/>
          <c:showBubbleSize val="0"/>
        </c:dLbls>
        <c:gapWidth val="219"/>
        <c:overlap val="100"/>
        <c:axId val="330158208"/>
        <c:axId val="330159776"/>
      </c:barChart>
      <c:catAx>
        <c:axId val="33015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0159776"/>
        <c:crosses val="autoZero"/>
        <c:auto val="1"/>
        <c:lblAlgn val="ctr"/>
        <c:lblOffset val="100"/>
        <c:noMultiLvlLbl val="0"/>
      </c:catAx>
      <c:valAx>
        <c:axId val="330159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0158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accent4"/>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296333</xdr:colOff>
      <xdr:row>8</xdr:row>
      <xdr:rowOff>73024</xdr:rowOff>
    </xdr:from>
    <xdr:to>
      <xdr:col>4</xdr:col>
      <xdr:colOff>337154</xdr:colOff>
      <xdr:row>17</xdr:row>
      <xdr:rowOff>110066</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109008</xdr:colOff>
      <xdr:row>8</xdr:row>
      <xdr:rowOff>73024</xdr:rowOff>
    </xdr:from>
    <xdr:to>
      <xdr:col>11</xdr:col>
      <xdr:colOff>89958</xdr:colOff>
      <xdr:row>18</xdr:row>
      <xdr:rowOff>110067</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19</xdr:row>
      <xdr:rowOff>51858</xdr:rowOff>
    </xdr:from>
    <xdr:to>
      <xdr:col>4</xdr:col>
      <xdr:colOff>342901</xdr:colOff>
      <xdr:row>27</xdr:row>
      <xdr:rowOff>61384</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78795</xdr:colOff>
      <xdr:row>19</xdr:row>
      <xdr:rowOff>84667</xdr:rowOff>
    </xdr:from>
    <xdr:to>
      <xdr:col>11</xdr:col>
      <xdr:colOff>66674</xdr:colOff>
      <xdr:row>27</xdr:row>
      <xdr:rowOff>52917</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370416</xdr:colOff>
      <xdr:row>8</xdr:row>
      <xdr:rowOff>80433</xdr:rowOff>
    </xdr:from>
    <xdr:to>
      <xdr:col>19</xdr:col>
      <xdr:colOff>69849</xdr:colOff>
      <xdr:row>27</xdr:row>
      <xdr:rowOff>42333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420158</xdr:colOff>
      <xdr:row>3</xdr:row>
      <xdr:rowOff>104775</xdr:rowOff>
    </xdr:from>
    <xdr:to>
      <xdr:col>22</xdr:col>
      <xdr:colOff>448733</xdr:colOff>
      <xdr:row>8</xdr:row>
      <xdr:rowOff>130174</xdr:rowOff>
    </xdr:to>
    <mc:AlternateContent xmlns:mc="http://schemas.openxmlformats.org/markup-compatibility/2006">
      <mc:Choice xmlns:a14="http://schemas.microsoft.com/office/drawing/2010/main" Requires="a14">
        <xdr:graphicFrame macro="">
          <xdr:nvGraphicFramePr>
            <xdr:cNvPr id="6" name="Product Position"/>
            <xdr:cNvGraphicFramePr/>
          </xdr:nvGraphicFramePr>
          <xdr:xfrm>
            <a:off x="0" y="0"/>
            <a:ext cx="0" cy="0"/>
          </xdr:xfrm>
          <a:graphic>
            <a:graphicData uri="http://schemas.microsoft.com/office/drawing/2010/slicer">
              <sle:slicer xmlns:sle="http://schemas.microsoft.com/office/drawing/2010/slicer" name="Product Position"/>
            </a:graphicData>
          </a:graphic>
        </xdr:graphicFrame>
      </mc:Choice>
      <mc:Fallback>
        <xdr:sp macro="" textlink="">
          <xdr:nvSpPr>
            <xdr:cNvPr id="0" name=""/>
            <xdr:cNvSpPr>
              <a:spLocks noTextEdit="1"/>
            </xdr:cNvSpPr>
          </xdr:nvSpPr>
          <xdr:spPr>
            <a:xfrm>
              <a:off x="11109325" y="676275"/>
              <a:ext cx="1838325" cy="1189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430741</xdr:colOff>
      <xdr:row>14</xdr:row>
      <xdr:rowOff>26459</xdr:rowOff>
    </xdr:from>
    <xdr:to>
      <xdr:col>22</xdr:col>
      <xdr:colOff>459316</xdr:colOff>
      <xdr:row>23</xdr:row>
      <xdr:rowOff>95249</xdr:rowOff>
    </xdr:to>
    <mc:AlternateContent xmlns:mc="http://schemas.openxmlformats.org/markup-compatibility/2006">
      <mc:Choice xmlns:a14="http://schemas.microsoft.com/office/drawing/2010/main" Requires="a14">
        <xdr:graphicFrame macro="">
          <xdr:nvGraphicFramePr>
            <xdr:cNvPr id="10" name="terms" title="Categories"/>
            <xdr:cNvGraphicFramePr/>
          </xdr:nvGraphicFramePr>
          <xdr:xfrm>
            <a:off x="0" y="0"/>
            <a:ext cx="0" cy="0"/>
          </xdr:xfrm>
          <a:graphic>
            <a:graphicData uri="http://schemas.microsoft.com/office/drawing/2010/slicer">
              <sle:slicer xmlns:sle="http://schemas.microsoft.com/office/drawing/2010/slicer" name="terms"/>
            </a:graphicData>
          </a:graphic>
        </xdr:graphicFrame>
      </mc:Choice>
      <mc:Fallback>
        <xdr:sp macro="" textlink="">
          <xdr:nvSpPr>
            <xdr:cNvPr id="0" name=""/>
            <xdr:cNvSpPr>
              <a:spLocks noTextEdit="1"/>
            </xdr:cNvSpPr>
          </xdr:nvSpPr>
          <xdr:spPr>
            <a:xfrm>
              <a:off x="11119908" y="2905126"/>
              <a:ext cx="1838325" cy="1783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408516</xdr:colOff>
      <xdr:row>8</xdr:row>
      <xdr:rowOff>186268</xdr:rowOff>
    </xdr:from>
    <xdr:to>
      <xdr:col>22</xdr:col>
      <xdr:colOff>437091</xdr:colOff>
      <xdr:row>13</xdr:row>
      <xdr:rowOff>148166</xdr:rowOff>
    </xdr:to>
    <mc:AlternateContent xmlns:mc="http://schemas.openxmlformats.org/markup-compatibility/2006">
      <mc:Choice xmlns:a14="http://schemas.microsoft.com/office/drawing/2010/main" Requires="a14">
        <xdr:graphicFrame macro="">
          <xdr:nvGraphicFramePr>
            <xdr:cNvPr id="11" name="section"/>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dr:sp macro="" textlink="">
          <xdr:nvSpPr>
            <xdr:cNvPr id="0" name=""/>
            <xdr:cNvSpPr>
              <a:spLocks noTextEdit="1"/>
            </xdr:cNvSpPr>
          </xdr:nvSpPr>
          <xdr:spPr>
            <a:xfrm>
              <a:off x="11097683" y="1921935"/>
              <a:ext cx="1838325" cy="914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408516</xdr:colOff>
      <xdr:row>23</xdr:row>
      <xdr:rowOff>137584</xdr:rowOff>
    </xdr:from>
    <xdr:to>
      <xdr:col>22</xdr:col>
      <xdr:colOff>437090</xdr:colOff>
      <xdr:row>30</xdr:row>
      <xdr:rowOff>21165</xdr:rowOff>
    </xdr:to>
    <mc:AlternateContent xmlns:mc="http://schemas.openxmlformats.org/markup-compatibility/2006">
      <mc:Choice xmlns:a14="http://schemas.microsoft.com/office/drawing/2010/main" Requires="a14">
        <xdr:graphicFrame macro="">
          <xdr:nvGraphicFramePr>
            <xdr:cNvPr id="12" name="Price Range Category"/>
            <xdr:cNvGraphicFramePr/>
          </xdr:nvGraphicFramePr>
          <xdr:xfrm>
            <a:off x="0" y="0"/>
            <a:ext cx="0" cy="0"/>
          </xdr:xfrm>
          <a:graphic>
            <a:graphicData uri="http://schemas.microsoft.com/office/drawing/2010/slicer">
              <sle:slicer xmlns:sle="http://schemas.microsoft.com/office/drawing/2010/slicer" name="Price Range Category"/>
            </a:graphicData>
          </a:graphic>
        </xdr:graphicFrame>
      </mc:Choice>
      <mc:Fallback>
        <xdr:sp macro="" textlink="">
          <xdr:nvSpPr>
            <xdr:cNvPr id="0" name=""/>
            <xdr:cNvSpPr>
              <a:spLocks noTextEdit="1"/>
            </xdr:cNvSpPr>
          </xdr:nvSpPr>
          <xdr:spPr>
            <a:xfrm>
              <a:off x="11097683" y="4730751"/>
              <a:ext cx="1838324" cy="1217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398994</xdr:colOff>
      <xdr:row>30</xdr:row>
      <xdr:rowOff>107950</xdr:rowOff>
    </xdr:from>
    <xdr:to>
      <xdr:col>22</xdr:col>
      <xdr:colOff>427569</xdr:colOff>
      <xdr:row>36</xdr:row>
      <xdr:rowOff>174625</xdr:rowOff>
    </xdr:to>
    <mc:AlternateContent xmlns:mc="http://schemas.openxmlformats.org/markup-compatibility/2006">
      <mc:Choice xmlns:a14="http://schemas.microsoft.com/office/drawing/2010/main" Requires="a14">
        <xdr:graphicFrame macro="">
          <xdr:nvGraphicFramePr>
            <xdr:cNvPr id="17" name="Product volume categories"/>
            <xdr:cNvGraphicFramePr/>
          </xdr:nvGraphicFramePr>
          <xdr:xfrm>
            <a:off x="0" y="0"/>
            <a:ext cx="0" cy="0"/>
          </xdr:xfrm>
          <a:graphic>
            <a:graphicData uri="http://schemas.microsoft.com/office/drawing/2010/slicer">
              <sle:slicer xmlns:sle="http://schemas.microsoft.com/office/drawing/2010/slicer" name="Product volume categories"/>
            </a:graphicData>
          </a:graphic>
        </xdr:graphicFrame>
      </mc:Choice>
      <mc:Fallback>
        <xdr:sp macro="" textlink="">
          <xdr:nvSpPr>
            <xdr:cNvPr id="0" name=""/>
            <xdr:cNvSpPr>
              <a:spLocks noTextEdit="1"/>
            </xdr:cNvSpPr>
          </xdr:nvSpPr>
          <xdr:spPr>
            <a:xfrm>
              <a:off x="11088161" y="6034617"/>
              <a:ext cx="1838325"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28</xdr:row>
      <xdr:rowOff>169333</xdr:rowOff>
    </xdr:from>
    <xdr:to>
      <xdr:col>3</xdr:col>
      <xdr:colOff>254000</xdr:colOff>
      <xdr:row>35</xdr:row>
      <xdr:rowOff>95250</xdr:rowOff>
    </xdr:to>
    <xdr:sp macro="" textlink="">
      <xdr:nvSpPr>
        <xdr:cNvPr id="18" name="Rounded Rectangle 17"/>
        <xdr:cNvSpPr/>
      </xdr:nvSpPr>
      <xdr:spPr>
        <a:xfrm>
          <a:off x="381000" y="5715000"/>
          <a:ext cx="1725083" cy="1259417"/>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a:latin typeface="Bodoni MT" panose="02070603080606020203" pitchFamily="18" charset="0"/>
            </a:rPr>
            <a:t>Jackets contribute the highest overall sales revenue among all product categories.</a:t>
          </a:r>
        </a:p>
      </xdr:txBody>
    </xdr:sp>
    <xdr:clientData/>
  </xdr:twoCellAnchor>
  <xdr:twoCellAnchor>
    <xdr:from>
      <xdr:col>4</xdr:col>
      <xdr:colOff>67733</xdr:colOff>
      <xdr:row>28</xdr:row>
      <xdr:rowOff>184149</xdr:rowOff>
    </xdr:from>
    <xdr:to>
      <xdr:col>6</xdr:col>
      <xdr:colOff>592666</xdr:colOff>
      <xdr:row>35</xdr:row>
      <xdr:rowOff>110066</xdr:rowOff>
    </xdr:to>
    <xdr:sp macro="" textlink="">
      <xdr:nvSpPr>
        <xdr:cNvPr id="19" name="Rounded Rectangle 18"/>
        <xdr:cNvSpPr/>
      </xdr:nvSpPr>
      <xdr:spPr>
        <a:xfrm>
          <a:off x="2523066" y="5729816"/>
          <a:ext cx="1657350" cy="1259417"/>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a:latin typeface="Bodoni MT" panose="02070603080606020203" pitchFamily="18" charset="0"/>
            </a:rPr>
            <a:t>Mid-range priced products appear to dominate overall product performance.</a:t>
          </a:r>
        </a:p>
      </xdr:txBody>
    </xdr:sp>
    <xdr:clientData/>
  </xdr:twoCellAnchor>
  <xdr:twoCellAnchor>
    <xdr:from>
      <xdr:col>7</xdr:col>
      <xdr:colOff>463549</xdr:colOff>
      <xdr:row>28</xdr:row>
      <xdr:rowOff>167216</xdr:rowOff>
    </xdr:from>
    <xdr:to>
      <xdr:col>11</xdr:col>
      <xdr:colOff>21166</xdr:colOff>
      <xdr:row>35</xdr:row>
      <xdr:rowOff>93133</xdr:rowOff>
    </xdr:to>
    <xdr:sp macro="" textlink="">
      <xdr:nvSpPr>
        <xdr:cNvPr id="20" name="Rounded Rectangle 19"/>
        <xdr:cNvSpPr/>
      </xdr:nvSpPr>
      <xdr:spPr>
        <a:xfrm>
          <a:off x="4654549" y="5712883"/>
          <a:ext cx="1674284" cy="1259417"/>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a:latin typeface="Bodoni MT" panose="02070603080606020203" pitchFamily="18" charset="0"/>
            </a:rPr>
            <a:t>Promoted products demonstrate stronger sales volume compared to non-promoted products.</a:t>
          </a:r>
        </a:p>
      </xdr:txBody>
    </xdr:sp>
    <xdr:clientData/>
  </xdr:twoCellAnchor>
  <xdr:twoCellAnchor>
    <xdr:from>
      <xdr:col>11</xdr:col>
      <xdr:colOff>510117</xdr:colOff>
      <xdr:row>28</xdr:row>
      <xdr:rowOff>171449</xdr:rowOff>
    </xdr:from>
    <xdr:to>
      <xdr:col>14</xdr:col>
      <xdr:colOff>508000</xdr:colOff>
      <xdr:row>35</xdr:row>
      <xdr:rowOff>97366</xdr:rowOff>
    </xdr:to>
    <xdr:sp macro="" textlink="">
      <xdr:nvSpPr>
        <xdr:cNvPr id="21" name="Rounded Rectangle 20"/>
        <xdr:cNvSpPr/>
      </xdr:nvSpPr>
      <xdr:spPr>
        <a:xfrm>
          <a:off x="6817784" y="5717116"/>
          <a:ext cx="1659466" cy="1259417"/>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a:latin typeface="Bodoni MT" panose="02070603080606020203" pitchFamily="18" charset="0"/>
            </a:rPr>
            <a:t>Product positioning and category selection significantly influence revenue contribution.</a:t>
          </a:r>
        </a:p>
      </xdr:txBody>
    </xdr:sp>
    <xdr:clientData/>
  </xdr:twoCellAnchor>
  <xdr:twoCellAnchor>
    <xdr:from>
      <xdr:col>15</xdr:col>
      <xdr:colOff>302684</xdr:colOff>
      <xdr:row>28</xdr:row>
      <xdr:rowOff>175683</xdr:rowOff>
    </xdr:from>
    <xdr:to>
      <xdr:col>18</xdr:col>
      <xdr:colOff>374650</xdr:colOff>
      <xdr:row>35</xdr:row>
      <xdr:rowOff>101600</xdr:rowOff>
    </xdr:to>
    <xdr:sp macro="" textlink="">
      <xdr:nvSpPr>
        <xdr:cNvPr id="23" name="Rounded Rectangle 22"/>
        <xdr:cNvSpPr/>
      </xdr:nvSpPr>
      <xdr:spPr>
        <a:xfrm>
          <a:off x="8875184" y="5721350"/>
          <a:ext cx="1659466" cy="1259417"/>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a:latin typeface="Bodoni MT" panose="02070603080606020203" pitchFamily="18" charset="0"/>
            </a:rPr>
            <a:t>Outerwear categories such as jackets generate the largest share of total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53.952178819447" createdVersion="5" refreshedVersion="5" minRefreshableVersion="3" recordCount="252">
  <cacheSource type="worksheet">
    <worksheetSource name="Table1"/>
  </cacheSource>
  <cacheFields count="18">
    <cacheField name="Product ID" numFmtId="0">
      <sharedItems containsSemiMixedTypes="0" containsString="0" containsNumber="1" containsInteger="1" minValue="110075" maxValue="199631"/>
    </cacheField>
    <cacheField name="Product Position" numFmtId="0">
      <sharedItems count="3">
        <s v="End-cap"/>
        <s v="Aisle"/>
        <s v="Front of Store"/>
      </sharedItems>
    </cacheField>
    <cacheField name="Promotion" numFmtId="0">
      <sharedItems count="2">
        <s v="Yes"/>
        <s v="No"/>
      </sharedItems>
    </cacheField>
    <cacheField name="Product Category" numFmtId="0">
      <sharedItems count="1">
        <s v="Clothing"/>
      </sharedItems>
    </cacheField>
    <cacheField name="Seasonal" numFmtId="0">
      <sharedItems count="2">
        <s v="Yes"/>
        <s v="No"/>
      </sharedItems>
    </cacheField>
    <cacheField name="Sales Volume" numFmtId="0">
      <sharedItems containsSemiMixedTypes="0" containsString="0" containsNumber="1" containsInteger="1" minValue="529" maxValue="2989"/>
    </cacheField>
    <cacheField name="url" numFmtId="0">
      <sharedItems count="228">
        <s v="https://www.zara.com/us/en/vintage-effect-leather-bomber-jacket-p02521300.html"/>
        <s v="https://www.zara.com/us/en/suede-jacket-p02521102.html"/>
        <s v="https://www.zara.com/us/en/longline-quilted-jacket-p05071688.html"/>
        <s v="https://www.zara.com/us/en/wool-blend-textured-jacket-p04296310.html"/>
        <s v="https://www.zara.com/us/en/cashmere-blend-knit-sweater-p02893169.html"/>
        <s v="https://www.zara.com/us/en/double-faced-jacket-p08281477.html"/>
        <s v="https://www.zara.com/us/en/pocket-jacket-p04297266.html"/>
        <s v="https://www.zara.com/us/en/faux-leather-oversized-jacket-limited-edition-p07380310.html"/>
        <s v="https://www.zara.com/us/en/slim-fit-suit-jacket-p04239493.html"/>
        <s v="https://www.zara.com/us/en/leather-jacket-p05479400.html"/>
        <s v="https://www.zara.com/us/en/suit-jacket-in-100-linen-p04307408.html"/>
        <s v="https://www.zara.com/us/en/wool-blend-suit-jacket-p04156504.html"/>
        <s v="https://www.zara.com/us/en/foil-knit-crop-sweater-p06771001.html"/>
        <s v="https://www.zara.com/us/en/striped-crop-knit-sweater-p06771158.html"/>
        <s v="https://www.zara.com/us/en/leather-biker-jacket-p05833412.html"/>
        <s v="https://www.zara.com/us/en/colorblock-knit-crop-sweater-p05536008.html"/>
        <s v="https://www.zara.com/us/en/wool-blend-felt-texture-jacket-p04160752.html"/>
        <s v="https://www.zara.com/us/en/herringbone-textured-jacket-p08491401.html"/>
        <s v="https://www.zara.com/us/en/contrasting-patches-bomber-jacket-p06318411.html"/>
        <s v="https://www.zara.com/us/en/fine-knit-crop-sweater-p09598029.html"/>
        <s v="https://www.zara.com/us/en/100-wool-suit-jacket-p05955218.html"/>
        <s v="https://www.zara.com/us/en/straight-suit-jacket-p04143291.html"/>
        <s v="https://www.zara.com/us/en/cropped-leather-jacket-p02521104.html"/>
        <s v="https://www.zara.com/us/en/faux-leather-bomber-jacket-p08281667.html"/>
        <s v="https://www.zara.com/us/en/knit-sweater-with-piping-p05536151.html"/>
        <s v="https://www.zara.com/us/en/rib-collar-jacket-p08281410.html"/>
        <s v="https://www.zara.com/us/en/denim-bomber-jacket-p00621400.html"/>
        <s v="https://www.zara.com/us/en/boucle-textured-jacket-p08491402.html"/>
        <s v="https://www.zara.com/us/en/patch-bomber-jacket-p03833404.html"/>
        <s v="https://www.zara.com/us/en/slim-fit-suit-jacket-p01564520.html"/>
        <s v="https://www.zara.com/us/en/faux-leather-puffer-jacket-p03833302.html"/>
        <s v="https://www.zara.com/us/en/cropped-bomber-jacket-limited-edition-p08281600.html"/>
        <s v="https://www.zara.com/us/en/pocket-puffer-jacket-p08281439.html"/>
        <s v="https://www.zara.com/us/en/pocket-overshirt-p04466468.html"/>
        <s v="https://www.zara.com/us/en/suit-jacket-p04303266.html"/>
        <s v="https://www.zara.com/us/en/cotton-blend-bomber-jacket-p06518350.html"/>
        <s v="https://www.zara.com/us/en/washed-technical-jacket-p04695300.html"/>
        <s v="https://www.zara.com/us/en/quilted-structured-overshirt-p09621370.html"/>
        <s v="https://www.zara.com/us/en/cotton-overshirt-p09621103.html"/>
        <s v="https://www.zara.com/us/en/boxy-fit-denim-jacket-p00840402.html"/>
        <s v="https://www.zara.com/us/en/jewel-knit-sweater-p05755005.html"/>
        <s v="https://www.zara.com/us/en/contrast-jacquard-jacket-p04087423.html"/>
        <s v="https://www.zara.com/us/en/geometric-jacquard-overshirt-p04196412.html"/>
        <s v="https://www.zara.com/us/en/wool-blend-knit-sweater-p02893159.html"/>
        <s v="https://www.zara.com/us/en/puffer-jacket-with-pouch-pocket-p00155401.html"/>
        <s v="https://www.zara.com/us/en/v-neck-knit-sweater-p03519001.html"/>
        <s v="https://www.zara.com/us/en/contrasting-collar-jacket-p06987331.html"/>
        <s v="https://www.zara.com/us/en/-p04310461.html"/>
        <s v="https://www.zara.com/us/en/waxed-effect-plaid-jacket-p04272302.html"/>
        <s v="https://www.zara.com/us/en/technical-padded-jacket-p03833311.html"/>
        <s v="https://www.zara.com/us/en/hiking-boots-p12103320.html"/>
        <s v="https://www.zara.com/us/en/faux-leather-boxy-fit-jacket-p08281654.html"/>
        <s v="https://www.zara.com/us/en/100-linen-overshirt-p04224708.html"/>
        <s v="https://www.zara.com/us/en/faux-leather-jacket-p03427320.html"/>
        <s v="https://www.zara.com/us/en/moc-toe-suede-boots-p12015320.html"/>
        <s v="https://www.zara.com/us/en/pocket-jacket-p06318507.html"/>
        <s v="https://www.zara.com/us/en/100-feather-fill-puffer-jacket-p00155480.html"/>
        <s v="https://www.zara.com/us/en/faux-shearling-lined-suede-boots-p12050320.html"/>
        <s v="https://www.zara.com/us/en/embroidered-forest-jacket-p02795407.html"/>
        <s v="https://www.zara.com/us/en/ripped-straight-fit-jeans-p03991404.html"/>
        <s v="https://www.zara.com/us/en/stretch-suit-jacket-p01564300.html"/>
        <s v="https://www.zara.com/us/en/technical-overshirt-p05320500.html"/>
        <s v="https://www.zara.com/us/en/oversized-cropped-jacket-limited-edition-p04304672.html"/>
        <s v="https://www.zara.com/us/en/contrasting-patches-bomber-jacket-p03833401.html"/>
        <s v="https://www.zara.com/us/en/suede-fisherman-sandals-p12436320.html"/>
        <s v="https://www.zara.com/us/en/chunky-sole-canvas-lace-up-boots-p12005320.html"/>
        <s v="https://www.zara.com/us/en/basic-foil-knit-sweater-p00506101.html"/>
        <s v="https://www.zara.com/us/en/suede-penny-loafers-p12644320.html"/>
        <s v="https://www.zara.com/us/en/knit-sweater-with-pearls-p02142249.html"/>
        <s v="https://www.zara.com/us/en/soft-jewel-sweater-p02298153.html"/>
        <s v="https://www.zara.com/us/en/tassel-leather-loafers-p12609320.html"/>
        <s v="https://www.zara.com/us/en/metal-bead-knit-sweater-p03920018.html"/>
        <s v="https://www.zara.com/us/en/hooded-denim-jacket-p01538428.html"/>
        <s v="https://www.zara.com/us/en/jacquard-denim-jacket-p07627402.html"/>
        <s v="https://www.zara.com/us/en/color-block-puffer-jacket-p08281365.html"/>
        <s v="https://www.zara.com/us/en/oversized-knit-sweater-p09598288.html"/>
        <s v="https://www.zara.com/us/en/padded-bomber-jacket-p03918620.html"/>
        <s v="https://www.zara.com/us/en/pocket-denim-jacket-p00840482.html"/>
        <s v="https://www.zara.com/us/en/padded-bomber-jacket-p03918400.html"/>
        <s v="https://www.zara.com/us/en/washed-effect-bomber-jacket-p08281307.html"/>
        <s v="https://www.zara.com/us/en/knit-sweater-with-rips-p00021110.html"/>
        <s v="https://www.zara.com/us/en/ripped-denim-jacket-p01538470.html"/>
        <s v="https://www.zara.com/us/en/acid-wash-denim-jacket-p06688401.html"/>
        <s v="https://www.zara.com/us/en/asymmetrical-wool-and-silk-blend-sweater-p09598025.html"/>
        <s v="https://www.zara.com/us/en/basic-100-wool-sweater-p02893106.html"/>
        <s v="https://www.zara.com/us/en/faux-suede-overshirt-p03715303.html"/>
        <s v="https://www.zara.com/us/en/faux-fur-jewel-sweater-p07901339.html"/>
        <s v="https://www.zara.com/us/en/double-strap-suede-sandals-p12716320.html"/>
        <s v="https://www.zara.com/us/en/contrast-sole-leather-sneakers-p12510320.html"/>
        <s v="https://www.zara.com/us/en/suede-sneakers-p12502320.html"/>
        <s v="https://www.zara.com/us/en/bomber-jacket-p05344402.html"/>
        <s v="https://www.zara.com/us/en/padded-corduroy-overshirt-p01063400.html"/>
        <s v="https://www.zara.com/us/en/embroidered-patch-jacket-p05320345.html"/>
        <s v="https://www.zara.com/us/en/wool-blend-jacket-p09621448.html"/>
        <s v="https://www.zara.com/us/en/textured-jacket-p04302457.html"/>
        <s v="https://www.zara.com/us/en/padded-denim-jacket-p01538413.html"/>
        <s v="https://www.zara.com/us/en/contrasting-patches-hooded-jacket-p03833400.html"/>
        <s v="https://www.zara.com/us/en/zippered-wool-blend-overshirt-p05854401.html"/>
        <s v="https://www.zara.com/us/en/chunky-sole-multipiece-sneakers-p12266220.html"/>
        <s v="https://www.zara.com/us/en/faux-suede-jacket-p08281652.html"/>
        <s v="https://www.zara.com/us/en/technical-jacket-with-pockets-p03286501.html"/>
        <s v="https://www.zara.com/us/en/pocket-overshirt-p00706621.html"/>
        <s v="https://www.zara.com/us/en/flared-fit-cargo-jeans-p06688411.html"/>
        <s v="https://www.zara.com/us/en/pocket-overshirt-p05070605.html"/>
        <s v="https://www.zara.com/us/en/multicolor-sneakers-p12304320.html"/>
        <s v="https://www.zara.com/us/en/contrast-topstitching-crop-knit-sweater-p09598003.html"/>
        <s v="https://www.zara.com/us/en/stretch-pocket-overshirt-p07484478.html"/>
        <s v="https://www.zara.com/us/en/faux-leather-jacket-p08281345.html"/>
        <s v="https://www.zara.com/us/en/mixed-collar-waxed-jacket-p06861405.html"/>
        <s v="https://www.zara.com/us/en/pocket-denim-overshirt-p01472403.html"/>
        <s v="https://www.zara.com/us/en/plaid-overshirt-p01300100.html"/>
        <s v="https://www.zara.com/us/en/zipper-multipiece-sneakers-p12319220.html"/>
        <s v="https://www.zara.com/us/en/wool-blend-jacket-p05854654.html"/>
        <s v="https://www.zara.com/us/en/textured-denim-jacket-limited-edition-p01538430.html"/>
        <s v="https://www.zara.com/us/en/faux-suede-bomber-jacket-p06318600.html"/>
        <s v="https://www.zara.com/us/en/baggy-fit-jeans-limited-edition-p03991480.html"/>
        <s v="https://www.zara.com/us/en/reversible-plaid-overshirt-p09621301.html"/>
        <s v="https://www.zara.com/us/en/bomber-jacket-p05039440.html"/>
        <s v="https://www.zara.com/us/en/cropped-overshirt-p04432403.html"/>
        <s v="https://www.zara.com/us/en/plaid-overshirt-p04266381.html"/>
        <s v="https://www.zara.com/us/en/gathered-waist-knit-sweater-p05536012.html"/>
        <s v="https://www.zara.com/us/en/alpaca-blend-open-knit-sweater-p05755132.html"/>
        <s v="https://www.zara.com/us/en/hooded-quilted-jacket-p00029501.html"/>
        <s v="https://www.zara.com/us/en/multi-pieced-retro-sneakers-p12220320.html"/>
        <s v="https://www.zara.com/us/en/textured-pocket-overshirt-p01934436.html"/>
        <s v="https://www.zara.com/us/en/knit-v-neck-sweater-p06771003.html"/>
        <s v="https://www.zara.com/us/en/faux-suede-bomber-jacket-p08574500.html"/>
        <s v="https://www.zara.com/us/en/bomber-jacket-p06318502.html"/>
        <s v="https://www.zara.com/us/en/braided-color-block-sweater-p03284412.html"/>
        <s v="https://www.zara.com/us/en/plaid-overshirt-p08281303.html"/>
        <s v="https://www.zara.com/us/en/boucle-textured-vest-p01437303.html"/>
        <s v="https://www.zara.com/us/en/lightweight-bomber-jacket-p08281315.html"/>
        <s v="https://www.zara.com/us/en/faux-leather-bomber-jacket-p03918420.html"/>
        <s v="https://www.zara.com/us/en/asymmetric-cropped-knit-sweater-p06771149.html"/>
        <s v="https://www.zara.com/us/en/structured-twill-overshirt-p06861430.html"/>
        <s v="https://www.zara.com/us/en/faux-shearling-plaid-jacket-p00993305.html"/>
        <s v="https://www.zara.com/us/en/textured-weave-overshirt-p01608101.html"/>
        <s v="https://www.zara.com/us/en/plaid-overshirt-p07446410.html"/>
        <s v="https://www.zara.com/us/en/100-feather-fill-puffer-jacket-p04302305.html"/>
        <s v="https://www.zara.com/us/en/hooded-technical-jacket-p08281355.html"/>
        <s v="https://www.zara.com/us/en/tuxedo-jacket-p08896675.html"/>
        <s v="https://www.zara.com/us/en/utility-pocket-jacket-p05520451.html"/>
        <s v="https://www.zara.com/us/en/cropped-washed-t-shirt-p03665403.html"/>
        <s v="https://www.zara.com/us/en/technical-padded-jacket-p06518501.html"/>
        <s v="https://www.zara.com/us/en/baggy-fit-jeans-p08062482.html"/>
        <s v="https://www.zara.com/us/en/lightweight-bomber-jacket-p04302404.html"/>
        <s v="https://www.zara.com/us/en/multipiece-sneakers-p12318220.html"/>
        <s v="https://www.zara.com/us/en/textured-sweater-p02893403.html"/>
        <s v="https://www.zara.com/us/en/suit-jacket-in-100-linen-p04307443.html"/>
        <s v="https://www.zara.com/us/en/suede-sneakers-p12216320.html"/>
        <s v="https://www.zara.com/us/en/cropped-textured-jacket-p01538410.html"/>
        <s v="https://www.zara.com/us/en/structured-text-t-shirt-p00761435.html"/>
        <s v="https://www.zara.com/us/en/houndstooth-suit-jacket-p04285498.html"/>
        <s v="https://www.zara.com/us/en/multipiece-sneakers-p12215320.html"/>
        <s v="https://www.zara.com/us/en/fine-knit-sweater-p09598045.html"/>
        <s v="https://www.zara.com/us/en/baggy-fit-jeans-p06688486.html"/>
        <s v="https://www.zara.com/us/en/mock-neck-wool-and-silk-blend-knit-top-p09598125.html"/>
        <s v="https://www.zara.com/us/en/basic-knit-sweater-p01509115.html"/>
        <s v="https://www.zara.com/us/en/suede-laceless-sneakers-p12221320.html"/>
        <s v="https://www.zara.com/us/en/plaid-overshirt-p04054659.html"/>
        <s v="https://www.zara.com/us/en/viscose-blend-knit-t-shirt-p00693401.html"/>
        <s v="https://www.zara.com/us/en/baggy-belted-jeans-p04365401.html"/>
        <s v="https://www.zara.com/us/en/suede-retro-sneakers-p12309320.html"/>
        <s v="https://www.zara.com/us/en/cotton-jacket-p00706301.html"/>
        <s v="https://www.zara.com/us/en/overshirt-p00706623.html"/>
        <s v="https://www.zara.com/us/en/patch-bomber-jacket-p03918330.html"/>
        <s v="https://www.zara.com/us/en/pocket-overshirt-p05070314.html"/>
        <s v="https://www.zara.com/us/en/zippered-jacket-p04087418.html"/>
        <s v="https://www.zara.com/us/en/suede-strap-sandals-p12707320.html"/>
        <s v="https://www.zara.com/us/en/abstract-print-knit-t-shirt-p04805401.html"/>
        <s v="https://www.zara.com/us/en/suede-running-sneakers-p12320320.html"/>
        <s v="https://www.zara.com/us/en/cotton---linen-blend-jacket-p00706103.html"/>
        <s v="https://www.zara.com/us/en/contrasting-collar-jacket-p01538369.html"/>
        <s v="https://www.zara.com/us/en/plaid-overshirt-p00794432.html"/>
        <s v="https://www.zara.com/us/en/hooded-knit-cardigan-p02621407.html"/>
        <s v="https://www.zara.com/us/en/oversize-fit-t-shirt-p04092405.html"/>
        <s v="https://www.zara.com/us/en/fleece-bomber-jacket-p08281405.html"/>
        <s v="https://www.zara.com/us/en/retro-running-sneakers-p12350320.html"/>
        <s v="https://www.zara.com/us/en/contrast-interior-sweater-p04696400.html"/>
        <s v="https://www.zara.com/us/en/wool-and-cashmere-blend-rib-sweater-p02893054.html"/>
        <s v="https://www.zara.com/us/en/raised-text-t-shirt-limited-edition-p00977490.html"/>
        <s v="https://www.zara.com/us/en/heart-print-t-shirt-p06224419.html"/>
        <s v="https://www.zara.com/us/en/knit-pearl-sweater-p04331165.html"/>
        <s v="https://www.zara.com/us/en/cable-knit-metallic-sweater-p04369103.html"/>
        <s v="https://www.zara.com/us/en/hooded-technical-jacket-p00155502.html"/>
        <s v="https://www.zara.com/us/en/topstitch-sneakers-p12240320.html"/>
        <s v="https://www.zara.com/us/en/mixed-collar-jacket-p03046507.html"/>
        <s v="https://www.zara.com/us/en/faux-leather-puffer-jacket-p08281420.html"/>
        <s v="https://www.zara.com/us/en/fleece-overshirt-p01248320.html"/>
        <s v="https://www.zara.com/us/en/chunky-sole-high-top-sneakers-p12104320.html"/>
        <s v="https://www.zara.com/us/en/faux-suede-patch-jacket-p08281357.html"/>
        <s v="https://www.zara.com/us/en/oversized-bomber-jacket-p08281311.html"/>
        <s v="https://www.zara.com/us/en/text-t-shirt-p00962458.html"/>
        <s v="https://www.zara.com/us/en/knit-sweater-with-buttons-p08851131.html"/>
        <s v="https://www.zara.com/us/en/woven-leather-slides-p12708320.html"/>
        <s v="https://www.zara.com/us/en/striped-textured-overshirt-p04179056.html"/>
        <s v="https://www.zara.com/us/en/faux-suede-jacket-p03548689.html"/>
        <s v="https://www.zara.com/us/en/plaid-tie-dye-overshirt-p01063313.html"/>
        <s v="https://www.zara.com/us/en/textured-pocket-jacket-p03918500.html"/>
        <s v="https://www.zara.com/us/en/basic-puffer-jacket-p06985450.html"/>
        <s v="https://www.zara.com/us/en/striped-knit-sweater-p06427115.html"/>
        <s v="https://www.zara.com/us/en/basic-heavyweight-t-shirt-p01887450.html"/>
        <s v="https://www.zara.com/us/en/basic-medium-weight-t-shirt-p01887470.html"/>
        <s v="https://www.zara.com/us/en/structured-text-t-shirt-p00761434.html"/>
        <s v="https://www.zara.com/us/en/suede-high-tops-p12120320.html"/>
        <s v="https://www.zara.com/us/en/alpaca-and-wool-blend-tie-dye-knit-sweater-p02142220.html"/>
        <s v="https://www.zara.com/us/en/paint-print-overshirt-p05320305.html"/>
        <s v="https://www.zara.com/us/en/adherent-stripes-sneakers-p12269320.html"/>
        <s v="https://www.zara.com/us/en/overshirt-with-contrasting-topstitching-p06917325.html"/>
        <s v="https://www.zara.com/us/en/ribbed-knit-t-shirt-p04805409.html"/>
        <s v="https://www.zara.com/us/en/abstract-print-t-shirt-p06224403.html"/>
        <s v="https://www.zara.com/us/en/strap-sandals-p12765320.html"/>
        <s v="https://www.zara.com/us/en/purl-knit-sweater-p03332300.html"/>
        <s v="https://www.zara.com/us/en/printed-cropped-fit-shirt-limited-edition-p06224490.html"/>
        <s v="https://www.zara.com/us/en/hooded-technical-jacket-p01538301.html"/>
        <s v="https://www.zara.com/us/en/striped-jacquard-t-shirt-p05372400.html"/>
        <s v="https://www.zara.com/us/en/ribbed-knit-t-shirt-p03332431.html"/>
        <s v="https://www.zara.com/us/en/lightweight-puffer-jacket-p04302520.html"/>
        <s v="https://www.zara.com/us/en/semi-sheer-knit-shirt-limited-edition-p04805424.html"/>
        <s v="https://www.zara.com/us/en/abstract-jacquard-sweater-p03284407.html"/>
        <s v="https://www.zara.com/us/en/pleated-wide-fit-jeans-p05862417.html"/>
        <s v="https://www.zara.com/us/en/knit-open-back-pearly-sweater-p04331152.html"/>
        <s v="https://www.zara.com/us/en/printed-denim-overshirt-p02553808.html"/>
        <s v="https://www.zara.com/us/en/retro-high-top-sneakers-p12180220.html"/>
        <s v="https://www.zara.com/us/en/retro-sneakers-p12280220.html"/>
        <s v="https://www.zara.com/us/en/basic-slim-fit-t-shirt-p05584361.html"/>
        <s v="https://www.zara.com/us/en/denim-shirt-p06085371.html"/>
        <s v="https://www.zara.com/us/en/high-collar-knit-sweater-p01509118.html"/>
      </sharedItems>
    </cacheField>
    <cacheField name="sku(stock keeping unit)" numFmtId="0">
      <sharedItems/>
    </cacheField>
    <cacheField name="name" numFmtId="0">
      <sharedItems containsBlank="1" count="195">
        <s v="VINTAGE EFFECT LEATHER BOMBER JACKET"/>
        <s v="SUEDE JACKET"/>
        <s v="LONGLINE QUILTED JACKET"/>
        <s v="WOOL BLEND TEXTURED JACKET"/>
        <s v="CASHMERE BLEND KNIT SWEATER"/>
        <s v="DOUBLE FACED JACKET"/>
        <s v="POCKET JACKET"/>
        <s v="FAUX LEATHER OVERSIZED JACKET LIMITED EDITION"/>
        <s v="SLIM FIT SUIT JACKET"/>
        <s v="LEATHER JACKET"/>
        <s v="SUIT JACKET IN 100% LINEN"/>
        <s v="WOOL BLEND SUIT JACKET"/>
        <s v="RIB COLLAR JACKET"/>
        <s v="FAUX LEATHER BOMBER JACKET"/>
        <s v="LEATHER BIKER JACKET"/>
        <s v="CONTRASTING PATCHES BOMBER JACKET"/>
        <s v="WOOL BLEND FELT TEXTURE JACKET"/>
        <s v="HERRINGBONE TEXTURED JACKET"/>
        <s v="100% WOOL SUIT JACKET"/>
        <s v="STRAIGHT SUIT JACKET"/>
        <s v="CROPPED LEATHER JACKET"/>
        <s v="BOUCLÃ‰ TEXTURED JACKET"/>
        <s v="DENIM BOMBER JACKET"/>
        <s v="PATCH BOMBER JACKET"/>
        <s v="FAUX LEATHER PUFFER JACKET"/>
        <s v="CROPPED BOMBER JACKET LIMITED EDITION"/>
        <s v="POCKET PUFFER JACKET"/>
        <s v="POCKET OVERSHIRT"/>
        <s v="SUIT JACKET"/>
        <s v="COTTON BLEND BOMBER JACKET"/>
        <s v="WASHED TECHNICAL JACKET"/>
        <s v="QUILTED STRUCTURED OVERSHIRT"/>
        <s v="COTTON OVERSHIRT"/>
        <s v="BOXY FIT DENIM JACKET"/>
        <s v="CONTRAST JACQUARD JACKET"/>
        <s v="GEOMETRIC JACQUARD OVERSHIRT"/>
        <s v="PUFFER JACKET WITH POUCH POCKET"/>
        <s v="STRETCH POCKET OVERSHIRT"/>
        <s v="CONTRASTING COLLAR JACKET"/>
        <m/>
        <s v="WAXED EFFECT PLAID JACKET"/>
        <s v="TECHNICAL PADDED JACKET"/>
        <s v="HIKING BOOTS"/>
        <s v="FAUX LEATHER BOXY FIT JACKET"/>
        <s v="100% LINEN OVERSHIRT"/>
        <s v="FAUX LEATHER JACKET"/>
        <s v="MOC-TOE SUEDE BOOTS"/>
        <s v="100% FEATHER FILL PUFFER JACKET"/>
        <s v="FAUX SHEARLING LINED SUEDE BOOTS"/>
        <s v="EMBROIDERED FOREST JACKET"/>
        <s v="RIPPED STRAIGHT FIT JEANS"/>
        <s v="STRETCH SUIT JACKET"/>
        <s v="TECHNICAL OVERSHIRT"/>
        <s v="OVERSIZED CROPPED JACKET LIMITED EDITION"/>
        <s v="SUEDE FISHERMAN SANDALS"/>
        <s v="CHUNKY SOLE CANVAS LACE-UP BOOTS"/>
        <s v="LIGHTWEIGHT BOMBER JACKET"/>
        <s v="SUEDE PENNY LOAFERS"/>
        <s v="KNIT SWEATER WITH PEARLS"/>
        <s v="TASSEL LEATHER LOAFERS"/>
        <s v="HOODED DENIM JACKET"/>
        <s v="JACQUARD DENIM JACKET"/>
        <s v="COLOR BLOCK PUFFER JACKET"/>
        <s v="PADDED BOMBER JACKET"/>
        <s v="POCKET DENIM JACKET"/>
        <s v="WASHED EFFECT BOMBER JACKET"/>
        <s v="RIPPED DENIM JACKET"/>
        <s v="ACID WASH DENIM JACKET"/>
        <s v="ASYMMETRICAL WOOL AND SILK BLEND SWEATER"/>
        <s v="FAUX SUEDE OVERSHIRT"/>
        <s v="DOUBLE STRAP SUEDE SANDALS"/>
        <s v="CONTRAST SOLE LEATHER SNEAKERS"/>
        <s v="SUEDE SNEAKERS"/>
        <s v="BOMBER JACKET"/>
        <s v="PADDED CORDUROY OVERSHIRT"/>
        <s v="EMBROIDERED PATCH JACKET"/>
        <s v="WOOL BLEND JACKET"/>
        <s v="TEXTURED JACKET"/>
        <s v="PADDED DENIM JACKET"/>
        <s v="CONTRASTING PATCHES HOODED JACKET"/>
        <s v="ZIPPERED WOOL BLEND OVERSHIRT"/>
        <s v="CHUNKY SNEAKERS"/>
        <s v="FAUX SUEDE JACKET"/>
        <s v="TECHNICAL JACKET WITH POCKETS"/>
        <s v="FLARED FIT CARGO JEANS"/>
        <s v="MULTICOLOR SNEAKERS"/>
        <s v="CONTRAST TOPSTITCHING CROP KNIT SWEATER"/>
        <s v="MIXED COLLAR WAXED JACKET"/>
        <s v="JEWEL KNIT SWEATER"/>
        <s v="POCKET DENIM OVERSHIRT"/>
        <s v="PLAID OVERSHIRT"/>
        <s v="ZIPPER MULTIPIECE SNEAKERS"/>
        <s v="TEXTURED DENIM JACKET LIMITED EDITION"/>
        <s v="FAUX SUEDE BOMBER JACKET"/>
        <s v="BAGGY FIT JEANS LIMITED EDITION"/>
        <s v="REVERSIBLE PLAID OVERSHIRT"/>
        <s v="CROPPED OVERSHIRT"/>
        <s v="GATHERED WAIST KNIT SWEATER"/>
        <s v="ALPACA BLEND OPEN KNIT SWEATER"/>
        <s v="HOODED QUILTED JACKET"/>
        <s v="MULTI-PIECED RETRO SNEAKERS"/>
        <s v="STRIPED CROP KNIT SWEATER"/>
        <s v="TEXTURED POCKET OVERSHIRT"/>
        <s v="BRAIDED COLOR BLOCK SWEATER"/>
        <s v="BOUCLE TEXTURED VEST"/>
        <s v="ASYMMETRIC CROPPED KNIT SWEATER"/>
        <s v="STRUCTURED TWILL OVERSHIRT"/>
        <s v="FINE KNIT CROP SWEATER"/>
        <s v="FAUX SHEARLING PLAID JACKET"/>
        <s v="TEXTURED WEAVE OVERSHIRT"/>
        <s v="HOODED TECHNICAL JACKET"/>
        <s v="TUXEDO JACKET"/>
        <s v="UTILITY POCKET JACKET"/>
        <s v="CROPPED WASHED T-SHIRT"/>
        <s v="BAGGY FIT JEANS"/>
        <s v="KNIT SWEATER WITH PIPING"/>
        <s v="MULTIPIECE SNEAKERS"/>
        <s v="TEXTURED SWEATER"/>
        <s v="CROPPED TEXTURED JACKET"/>
        <s v="SOFT JEWEL SWEATER"/>
        <s v="STRUCTURED TEXT T-SHIRT"/>
        <s v="HOUNDSTOOTH SUIT JACKET"/>
        <s v="FINE KNIT SWEATER"/>
        <s v="MOCK NECK WOOL AND SILK BLEND KNIT TOP"/>
        <s v="SUEDE LACELESS SNEAKERS"/>
        <s v="VISCOSE BLEND KNIT T-SHIRT"/>
        <s v="BAGGY BELTED JEANS"/>
        <s v="SUEDE RETRO SNEAKERS"/>
        <s v="COTTON JACKET"/>
        <s v="OVERSHIRT"/>
        <s v="BASIC FOIL KNIT SWEATER"/>
        <s v="ZIPPERED JACKET"/>
        <s v="FOIL KNIT CROP SWEATER"/>
        <s v="SUEDE STRAP SANDALS"/>
        <s v="ABSTRACT PRINT KNIT T-SHIRT"/>
        <s v="SUEDE RUNNING SNEAKERS"/>
        <s v="COTTON - LINEN BLEND JACKET"/>
        <s v="WOOL BLEND KNIT SWEATER"/>
        <s v="HOODED KNIT CARDIGAN"/>
        <s v="OVERSIZE FIT T-SHIRT"/>
        <s v="FLEECE BOMBER JACKET"/>
        <s v="RETRO RUNNING SNEAKERS"/>
        <s v="BASIC KNIT SWEATER"/>
        <s v="COLORBLOCK KNIT CROP SWEATER"/>
        <s v="CONTRAST INTERIOR SWEATER"/>
        <s v="WOOL AND CASHMERE BLEND RIB SWEATER"/>
        <s v="RAISED TEXT T-SHIRT LIMITED EDITION"/>
        <s v="FAUX FUR JEWEL SWEATER"/>
        <s v="HEART PRINT T-SHIRT"/>
        <s v="KNIT PEARL SWEATER"/>
        <s v="CABLE KNIT METALLIC SWEATER"/>
        <s v="TOPSTITCH SNEAKERS"/>
        <s v="MIXED COLLAR JACKET"/>
        <s v="FLEECE OVERSHIRT"/>
        <s v="CHUNKY SOLE HIGH TOP SNEAKERS"/>
        <s v="FAUX SUEDE PATCH JACKET"/>
        <s v="OVERSIZED BOMBER JACKET"/>
        <s v="TEXT T-SHIRT"/>
        <s v="KNIT SWEATER WITH BUTTONS"/>
        <s v="WOVEN LEATHER SLIDES"/>
        <s v="STRIPED TEXTURED OVERSHIRT"/>
        <s v="OVERSIZED KNIT SWEATER"/>
        <s v="PLAID TIE DYE OVERSHIRT"/>
        <s v="TEXTURED POCKET JACKET"/>
        <s v="BASIC PUFFER JACKET"/>
        <s v="STRIPED KNIT SWEATER"/>
        <s v="BASIC HEAVYWEIGHT T-SHIRT"/>
        <s v="BASIC MEDIUM WEIGHT T-SHIRT"/>
        <s v="SUEDE HIGH-TOPS"/>
        <s v="ALPACA AND WOOL BLEND TIE DYE KNIT SWEATER"/>
        <s v="PAINT PRINT OVERSHIRT"/>
        <s v="ADHERENT STRIPES SNEAKERS"/>
        <s v="METAL BEAD KNIT SWEATER"/>
        <s v="OVERSHIRT WITH CONTRASTING TOPSTITCHING"/>
        <s v="RIBBED KNIT T-SHIRT"/>
        <s v="KNIT V-NECK SWEATER"/>
        <s v="ABSTRACT PRINT T-SHIRT"/>
        <s v="STRAP SANDALS"/>
        <s v="PURL KNIT SWEATER"/>
        <s v="PRINTED CROPPED FIT SHIRT LIMITED EDITION"/>
        <s v="STRIPED JACQUARD T-SHIRT"/>
        <s v="LIGHTWEIGHT PUFFER JACKET"/>
        <s v="SEMI-SHEER KNIT SHIRT LIMITED EDITION"/>
        <s v="ABSTRACT JACQUARD SWEATER"/>
        <s v="PLEATED WIDE FIT JEANS"/>
        <s v="KNIT SWEATER WITH RIPS"/>
        <s v="KNIT OPEN BACK PEARLY SWEATER"/>
        <s v="PRINTED DENIM OVERSHIRT"/>
        <s v="V-NECK KNIT SWEATER"/>
        <s v="RETRO HIGH TOP SNEAKERS"/>
        <s v="RETRO SNEAKERS"/>
        <s v="BASIC SLIM FIT T-SHIRT"/>
        <s v="BASIC 100% WOOL SWEATER"/>
        <s v="DENIM SHIRT"/>
        <s v="HIGH COLLAR KNIT SWEATER"/>
      </sharedItems>
    </cacheField>
    <cacheField name="description" numFmtId="0">
      <sharedItems containsBlank="1" longText="1"/>
    </cacheField>
    <cacheField name="price(USD)" numFmtId="0">
      <sharedItems containsSemiMixedTypes="0" containsString="0" containsNumber="1" minValue="7.99" maxValue="439"/>
    </cacheField>
    <cacheField name="currency" numFmtId="0">
      <sharedItems/>
    </cacheField>
    <cacheField name="Sales" numFmtId="0">
      <sharedItems containsSemiMixedTypes="0" containsString="0" containsNumber="1" minValue="4330.58" maxValue="651521" count="250">
        <n v="651521"/>
        <n v="649140"/>
        <n v="481481"/>
        <n v="447174"/>
        <n v="434668"/>
        <n v="408938"/>
        <n v="394621"/>
        <n v="393843"/>
        <n v="389339"/>
        <n v="385710"/>
        <n v="384939"/>
        <n v="384813"/>
        <n v="383517"/>
        <n v="364458"/>
        <n v="358956"/>
        <n v="353298"/>
        <n v="347415"/>
        <n v="343527"/>
        <n v="336432"/>
        <n v="325365"/>
        <n v="323804"/>
        <n v="322242"/>
        <n v="320031"/>
        <n v="319479"/>
        <n v="310541"/>
        <n v="302366"/>
        <n v="301731"/>
        <n v="299409"/>
        <n v="290508"/>
        <n v="286380"/>
        <n v="281111"/>
        <n v="267546"/>
        <n v="267159"/>
        <n v="262036"/>
        <n v="257556"/>
        <n v="257024.1"/>
        <n v="255044.7"/>
        <n v="253425"/>
        <n v="252169.50000000003"/>
        <n v="250910.90000000002"/>
        <n v="248949"/>
        <n v="247135.1"/>
        <n v="245606.80000000002"/>
        <n v="245337.1"/>
        <n v="238383"/>
        <n v="237143.2"/>
        <n v="237102"/>
        <n v="236769"/>
        <n v="231762.2"/>
        <n v="229952.2"/>
        <n v="226273.5"/>
        <n v="222412.6"/>
        <n v="222377.40000000002"/>
        <n v="221693.40000000002"/>
        <n v="213882"/>
        <n v="210995.30000000002"/>
        <n v="207392.40000000002"/>
        <n v="204342.7"/>
        <n v="203688.6"/>
        <n v="202272"/>
        <n v="200669"/>
        <n v="200340"/>
        <n v="199578"/>
        <n v="198768.90000000002"/>
        <n v="197150.7"/>
        <n v="194903.2"/>
        <n v="194543.6"/>
        <n v="192924.00000000003"/>
        <n v="192660"/>
        <n v="189710.1"/>
        <n v="187681.50000000003"/>
        <n v="186792"/>
        <n v="186608"/>
        <n v="185194"/>
        <n v="184116.6"/>
        <n v="184115.20000000001"/>
        <n v="183396"/>
        <n v="177196.5"/>
        <n v="176798"/>
        <n v="174727"/>
        <n v="173212.2"/>
        <n v="172338.30000000002"/>
        <n v="172332.3"/>
        <n v="171366"/>
        <n v="170765.7"/>
        <n v="170352"/>
        <n v="169876.4"/>
        <n v="167550.30000000002"/>
        <n v="166781.40000000002"/>
        <n v="166225"/>
        <n v="165153.30000000002"/>
        <n v="164993.5"/>
        <n v="164917"/>
        <n v="164833.70000000001"/>
        <n v="164696.80000000002"/>
        <n v="164154"/>
        <n v="163766.6"/>
        <n v="161100.80000000002"/>
        <n v="160666"/>
        <n v="159842.20000000001"/>
        <n v="159794"/>
        <n v="159392.70000000001"/>
        <n v="156576"/>
        <n v="156099.4"/>
        <n v="154242.5"/>
        <n v="153919.80000000002"/>
        <n v="152066"/>
        <n v="149390.6"/>
        <n v="149144.1"/>
        <n v="149096.70000000001"/>
        <n v="147768.6"/>
        <n v="147479"/>
        <n v="146806.70000000001"/>
        <n v="146021.1"/>
        <n v="145671.6"/>
        <n v="143500.40000000002"/>
        <n v="142941"/>
        <n v="141128.1"/>
        <n v="139447.19999999998"/>
        <n v="138957.9"/>
        <n v="138706.40000000002"/>
        <n v="134289"/>
        <n v="130906.8"/>
        <n v="130671.2"/>
        <n v="129105.30000000002"/>
        <n v="125674.20000000001"/>
        <n v="125540.40000000001"/>
        <n v="124805"/>
        <n v="124282.20000000001"/>
        <n v="123303.6"/>
        <n v="121716.8"/>
        <n v="121136.70000000001"/>
        <n v="117564.4"/>
        <n v="114915.6"/>
        <n v="114513"/>
        <n v="114233.7"/>
        <n v="114083.1"/>
        <n v="113116.5"/>
        <n v="112285.1"/>
        <n v="111925.5"/>
        <n v="111326.9"/>
        <n v="110864"/>
        <n v="110853"/>
        <n v="110526"/>
        <n v="110308"/>
        <n v="110084.09999999999"/>
        <n v="109254"/>
        <n v="108904.20000000001"/>
        <n v="108283"/>
        <n v="106835.9"/>
        <n v="106597.50000000001"/>
        <n v="106527.6"/>
        <n v="106371"/>
        <n v="105129.60000000001"/>
        <n v="104733.5"/>
        <n v="103380.9"/>
        <n v="102219.3"/>
        <n v="101470"/>
        <n v="100598.39999999999"/>
        <n v="100016.09999999999"/>
        <n v="99677.400000000009"/>
        <n v="96905.8"/>
        <n v="96466"/>
        <n v="94365.000000000015"/>
        <n v="94305.1"/>
        <n v="93865.5"/>
        <n v="93623.7"/>
        <n v="89850"/>
        <n v="89360.6"/>
        <n v="87840.709999999992"/>
        <n v="87813.4"/>
        <n v="87380.599999999991"/>
        <n v="86843.400000000009"/>
        <n v="85716.9"/>
        <n v="84578.8"/>
        <n v="83920.8"/>
        <n v="83732.2"/>
        <n v="83510.7"/>
        <n v="83250.900000000009"/>
        <n v="82622"/>
        <n v="80059.8"/>
        <n v="79476.3"/>
        <n v="79440.800000000003"/>
        <n v="79336.5"/>
        <n v="78922.2"/>
        <n v="78262"/>
        <n v="77630.399999999994"/>
        <n v="77506.2"/>
        <n v="77063"/>
        <n v="76607.099999999991"/>
        <n v="76552.2"/>
        <n v="76470.600000000006"/>
        <n v="76408.5"/>
        <n v="75282.3"/>
        <n v="74453.399999999994"/>
        <n v="73807.199999999997"/>
        <n v="71606.5"/>
        <n v="70523"/>
        <n v="68758.2"/>
        <n v="68452"/>
        <n v="66630.48"/>
        <n v="65915.700000000012"/>
        <n v="64517.700000000004"/>
        <n v="63559.3"/>
        <n v="63469.4"/>
        <n v="61964.7"/>
        <n v="61924.799999999996"/>
        <n v="61726.299999999996"/>
        <n v="61512.000000000007"/>
        <n v="60079.6"/>
        <n v="59783.500000000007"/>
        <n v="59750.109999999993"/>
        <n v="58165.3"/>
        <n v="56431.77"/>
        <n v="55139.5"/>
        <n v="54746.899999999994"/>
        <n v="54711.899999999994"/>
        <n v="54529.2"/>
        <n v="53430.799999999996"/>
        <n v="49600.6"/>
        <n v="48655.659999999996"/>
        <n v="45486.9"/>
        <n v="44760.299999999996"/>
        <n v="44505.7"/>
        <n v="41447.699999999997"/>
        <n v="39795.299999999996"/>
        <n v="39740.400000000001"/>
        <n v="37546.199999999997"/>
        <n v="37502.129999999997"/>
        <n v="36588.299999999996"/>
        <n v="35382.299999999996"/>
        <n v="35151.9"/>
        <n v="35029.799999999996"/>
        <n v="34322.829999999994"/>
        <n v="33461.1"/>
        <n v="32916.660000000003"/>
        <n v="31687.1"/>
        <n v="31137.599999999999"/>
        <n v="31037.8"/>
        <n v="30239.399999999998"/>
        <n v="29173.399999999998"/>
        <n v="27733.65"/>
        <n v="26728.2"/>
        <n v="25534.440000000002"/>
        <n v="24885.09"/>
        <n v="23482"/>
        <n v="22888.55"/>
        <n v="21916.57"/>
        <n v="21888.15"/>
        <n v="4330.58"/>
      </sharedItems>
    </cacheField>
    <cacheField name="terms" numFmtId="0">
      <sharedItems count="5">
        <s v="jackets"/>
        <s v="sweaters"/>
        <s v="t-shirts"/>
        <s v="shoes"/>
        <s v="jeans"/>
      </sharedItems>
    </cacheField>
    <cacheField name="section" numFmtId="0">
      <sharedItems count="2">
        <s v="MAN"/>
        <s v="WOMAN"/>
      </sharedItems>
    </cacheField>
    <cacheField name="Product URL" numFmtId="0">
      <sharedItems containsMixedTypes="1" containsNumber="1" containsInteger="1" minValue="0" maxValue="0"/>
    </cacheField>
    <cacheField name="Price Range Category" numFmtId="0">
      <sharedItems count="3">
        <s v="Premimum"/>
        <s v="Mid Range"/>
        <s v="Budget"/>
      </sharedItems>
    </cacheField>
    <cacheField name="Column1" numFmtId="0">
      <sharedItems count="3">
        <s v="Best Seller"/>
        <s v="Average"/>
        <s v="Slow selle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2">
  <r>
    <n v="151925"/>
    <x v="0"/>
    <x v="0"/>
    <x v="0"/>
    <x v="0"/>
    <n v="2179"/>
    <x v="0"/>
    <s v="320774184-800-97"/>
    <x v="0"/>
    <m/>
    <n v="299"/>
    <s v="USD"/>
    <x v="0"/>
    <x v="0"/>
    <x v="0"/>
    <s v="VINTAGE EFFECT LEATHER BOMBER JACKET"/>
    <x v="0"/>
    <x v="0"/>
  </r>
  <r>
    <n v="114877"/>
    <x v="1"/>
    <x v="1"/>
    <x v="0"/>
    <x v="1"/>
    <n v="1860"/>
    <x v="1"/>
    <s v="323134415-700-3"/>
    <x v="1"/>
    <s v="Jacket made of suede. Cropped length. Lapel collar and long sleeves. Front hidden in-seam pockets. Front zip closure."/>
    <n v="349"/>
    <s v="USD"/>
    <x v="1"/>
    <x v="0"/>
    <x v="0"/>
    <s v="SUEDE JACKET"/>
    <x v="0"/>
    <x v="1"/>
  </r>
  <r>
    <n v="152723"/>
    <x v="1"/>
    <x v="1"/>
    <x v="0"/>
    <x v="0"/>
    <n v="2849"/>
    <x v="2"/>
    <s v="316683359-818-2"/>
    <x v="2"/>
    <s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
    <n v="169"/>
    <s v="USD"/>
    <x v="2"/>
    <x v="0"/>
    <x v="0"/>
    <s v="LONGLINE QUILTED JACKET"/>
    <x v="1"/>
    <x v="0"/>
  </r>
  <r>
    <n v="154016"/>
    <x v="0"/>
    <x v="0"/>
    <x v="0"/>
    <x v="0"/>
    <n v="2366"/>
    <x v="3"/>
    <s v="328244979-064-48"/>
    <x v="3"/>
    <s v="Jacket made of wool blend fabric. Pointed lapel collar and long sleeves with buttoned cuffs. Welt pockets at chest and flap pockets at hip. Interior pocket. Back vents. Front double breasted button closure."/>
    <n v="189"/>
    <s v="USD"/>
    <x v="3"/>
    <x v="0"/>
    <x v="0"/>
    <s v="WOOL BLEND TEXTURED JACKET"/>
    <x v="1"/>
    <x v="0"/>
  </r>
  <r>
    <n v="152563"/>
    <x v="2"/>
    <x v="1"/>
    <x v="0"/>
    <x v="0"/>
    <n v="2572"/>
    <x v="4"/>
    <s v="313890686-731-2"/>
    <x v="4"/>
    <s v="Sweater made with 95% cashmere. V-neck and long sleeves. Rib trim."/>
    <n v="169"/>
    <s v="USD"/>
    <x v="4"/>
    <x v="1"/>
    <x v="1"/>
    <s v="CASHMERE BLEND KNIT SWEATER"/>
    <x v="1"/>
    <x v="0"/>
  </r>
  <r>
    <n v="192936"/>
    <x v="0"/>
    <x v="1"/>
    <x v="0"/>
    <x v="0"/>
    <n v="2942"/>
    <x v="5"/>
    <s v="312368260-800-2"/>
    <x v="5"/>
    <s v="Jacket made of faux leather faux shearling with fleece interior. Tabbed lapel collar. Long sleeves. Zip pockets at hip. Front zip closure."/>
    <n v="139"/>
    <s v="USD"/>
    <x v="5"/>
    <x v="0"/>
    <x v="0"/>
    <s v="DOUBLE FACED JACKET"/>
    <x v="2"/>
    <x v="0"/>
  </r>
  <r>
    <n v="137598"/>
    <x v="1"/>
    <x v="1"/>
    <x v="0"/>
    <x v="0"/>
    <n v="2839"/>
    <x v="6"/>
    <s v="329158644-605-2"/>
    <x v="6"/>
    <s v="Regular fit jacket with lapel collar and long sleeves. Patch pockets at chest and hip. Front button closure."/>
    <n v="139"/>
    <s v="USD"/>
    <x v="6"/>
    <x v="0"/>
    <x v="0"/>
    <s v="POCKET JACKET"/>
    <x v="2"/>
    <x v="0"/>
  </r>
  <r>
    <n v="110805"/>
    <x v="2"/>
    <x v="0"/>
    <x v="0"/>
    <x v="1"/>
    <n v="2477"/>
    <x v="7"/>
    <s v="321496761-800-2"/>
    <x v="7"/>
    <s v="Oversized jacket. Notched lapel collar and long sleeves. Flap pockets at hip and interior pocket. Front button closure."/>
    <n v="159"/>
    <s v="USD"/>
    <x v="7"/>
    <x v="0"/>
    <x v="0"/>
    <s v="FAUX LEATHER OVERSIZED JACKET LIMITED EDITION"/>
    <x v="1"/>
    <x v="0"/>
  </r>
  <r>
    <n v="138779"/>
    <x v="2"/>
    <x v="0"/>
    <x v="0"/>
    <x v="0"/>
    <n v="2801"/>
    <x v="8"/>
    <s v="329300083-705-48"/>
    <x v="8"/>
    <s v="Slim fit jacket made of viscose blend fabric. Notched lapel collar. Long sleeves with buttoned cuffs. Welt pocket at chest and flap pockets at hip. Interior pocket. Back vents. Front button closure."/>
    <n v="139"/>
    <s v="USD"/>
    <x v="8"/>
    <x v="0"/>
    <x v="0"/>
    <s v="SLIM FIT SUIT JACKET"/>
    <x v="2"/>
    <x v="0"/>
  </r>
  <r>
    <n v="161909"/>
    <x v="1"/>
    <x v="0"/>
    <x v="0"/>
    <x v="1"/>
    <n v="1290"/>
    <x v="9"/>
    <s v="315529534-705-3"/>
    <x v="9"/>
    <s v="Relaxed fit jacket in leather. Spread collar and long sleeves with slit cuffs with button closure. Patch pockets at hip. Back vents. Front button closure."/>
    <n v="299"/>
    <s v="USD"/>
    <x v="9"/>
    <x v="0"/>
    <x v="0"/>
    <s v="LEATHER JACKET"/>
    <x v="0"/>
    <x v="2"/>
  </r>
  <r>
    <n v="182157"/>
    <x v="1"/>
    <x v="1"/>
    <x v="0"/>
    <x v="1"/>
    <n v="2421"/>
    <x v="10"/>
    <s v="322972485-431-46"/>
    <x v="10"/>
    <s v="Straight fit blazer made of linen. Notched lapel collar and long sleeves with buttoned cuffs. Welt pocket at chest and flap pockets at hip. Interior pocket. Back vents. Front button closure."/>
    <n v="159"/>
    <s v="USD"/>
    <x v="10"/>
    <x v="0"/>
    <x v="0"/>
    <s v="SUIT JACKET IN 100% LINEN"/>
    <x v="1"/>
    <x v="0"/>
  </r>
  <r>
    <n v="123824"/>
    <x v="1"/>
    <x v="0"/>
    <x v="0"/>
    <x v="1"/>
    <n v="2277"/>
    <x v="11"/>
    <s v="322901350-800-46"/>
    <x v="11"/>
    <s v="Straight fit jacket made of wool blend fabric. Notched lapel collar and long sleeves with buttoned cuffs. Welt pockets at chest and flap pockets at hip. Interior pocket. Central vent at back hem. Front button closure."/>
    <n v="169"/>
    <s v="USD"/>
    <x v="11"/>
    <x v="0"/>
    <x v="0"/>
    <s v="WOOL BLEND SUIT JACKET"/>
    <x v="1"/>
    <x v="0"/>
  </r>
  <r>
    <n v="113435"/>
    <x v="1"/>
    <x v="1"/>
    <x v="0"/>
    <x v="0"/>
    <n v="2973"/>
    <x v="12"/>
    <s v="320278659-251-2"/>
    <x v="12"/>
    <s v="Overshirt made of stretchy fabric. Lapel collar and long sleeves with snap buttoned cuffs. Chest patch pockets. Front snap button closure."/>
    <n v="129"/>
    <s v="USD"/>
    <x v="12"/>
    <x v="0"/>
    <x v="0"/>
    <s v="RIB COLLAR JACKET"/>
    <x v="2"/>
    <x v="0"/>
  </r>
  <r>
    <n v="172015"/>
    <x v="0"/>
    <x v="0"/>
    <x v="0"/>
    <x v="0"/>
    <n v="2622"/>
    <x v="13"/>
    <s v="313008692-514-2"/>
    <x v="13"/>
    <s v="Cropped overshirt. Lapel collar and long sleeves with buttoned cuffs. Front patch pockets. Irregular finished seams. Front button closure."/>
    <n v="139"/>
    <s v="USD"/>
    <x v="13"/>
    <x v="2"/>
    <x v="0"/>
    <s v="FAUX LEATHER BOMBER JACKET"/>
    <x v="2"/>
    <x v="0"/>
  </r>
  <r>
    <n v="134693"/>
    <x v="1"/>
    <x v="0"/>
    <x v="0"/>
    <x v="1"/>
    <n v="2124"/>
    <x v="14"/>
    <s v="311297791-800-2"/>
    <x v="14"/>
    <s v="Jacket with lapel collar and snap button details. Long sleeves with zip cuffs. Front zip pockets and interior pocket. Asymmetric front closure with metal zipper."/>
    <n v="169"/>
    <s v="USD"/>
    <x v="14"/>
    <x v="0"/>
    <x v="0"/>
    <s v="LEATHER BIKER JACKET"/>
    <x v="1"/>
    <x v="1"/>
  </r>
  <r>
    <n v="199233"/>
    <x v="1"/>
    <x v="0"/>
    <x v="0"/>
    <x v="1"/>
    <n v="2222"/>
    <x v="15"/>
    <s v="330590505-500-2"/>
    <x v="15"/>
    <s v="Oversized jacket. Notched lapel collar and long sleeves. Flap pockets at hip and interior pocket. Front button closure."/>
    <n v="159"/>
    <s v="USD"/>
    <x v="15"/>
    <x v="0"/>
    <x v="0"/>
    <s v="CONTRASTING PATCHES BOMBER JACKET"/>
    <x v="1"/>
    <x v="0"/>
  </r>
  <r>
    <n v="110075"/>
    <x v="2"/>
    <x v="0"/>
    <x v="0"/>
    <x v="0"/>
    <n v="2185"/>
    <x v="16"/>
    <s v="320771732-800-2"/>
    <x v="16"/>
    <s v="Cropped jacket made with wool blend fabric. Lapel collar and long sleeves. Welt pockets at hip. Front hidden button closure."/>
    <n v="159"/>
    <s v="USD"/>
    <x v="16"/>
    <x v="0"/>
    <x v="0"/>
    <s v="WOOL BLEND FELT TEXTURE JACKET"/>
    <x v="1"/>
    <x v="0"/>
  </r>
  <r>
    <n v="113143"/>
    <x v="1"/>
    <x v="0"/>
    <x v="0"/>
    <x v="0"/>
    <n v="2663"/>
    <x v="17"/>
    <s v="316207900-710-2"/>
    <x v="17"/>
    <s v="Jacket made of wool blend fabric. Lapel collar and long sleeves. Welt pockets at hip. Front zip closure."/>
    <n v="129"/>
    <s v="USD"/>
    <x v="17"/>
    <x v="0"/>
    <x v="0"/>
    <s v="HERRINGBONE TEXTURED JACKET"/>
    <x v="2"/>
    <x v="0"/>
  </r>
  <r>
    <n v="179801"/>
    <x v="2"/>
    <x v="1"/>
    <x v="0"/>
    <x v="0"/>
    <n v="2608"/>
    <x v="18"/>
    <s v="311307255-800-2"/>
    <x v="15"/>
    <s v="Varsity jacket with elastic collar and long sleeves. Welt pockets at hip and interior pocket. Embroidered appliquÃ© and contrast front and back patches. Rib trim. Front snap button closure."/>
    <n v="129"/>
    <s v="USD"/>
    <x v="18"/>
    <x v="0"/>
    <x v="0"/>
    <s v="CONTRASTING PATCHES BOMBER JACKET"/>
    <x v="2"/>
    <x v="0"/>
  </r>
  <r>
    <n v="123047"/>
    <x v="1"/>
    <x v="1"/>
    <x v="0"/>
    <x v="0"/>
    <n v="2985"/>
    <x v="19"/>
    <s v="313027279-800-2"/>
    <x v="10"/>
    <s v="Quilted jacket made of technical fabric. Lapel collar and long sleeves. Welt pockets at hip. Rib trim. Front zip closure."/>
    <n v="109"/>
    <s v="USD"/>
    <x v="19"/>
    <x v="2"/>
    <x v="0"/>
    <s v="SUIT JACKET IN 100% LINEN"/>
    <x v="2"/>
    <x v="0"/>
  </r>
  <r>
    <n v="141861"/>
    <x v="1"/>
    <x v="0"/>
    <x v="0"/>
    <x v="0"/>
    <n v="1916"/>
    <x v="20"/>
    <s v="313854165-401-46"/>
    <x v="18"/>
    <s v="Jacket made of Italian wool. Pointed lapel collar and long sleeves with buttoned cuffs. Welt pocket at chest and flap pockets at hip. Interior pocket. Back vents. Front button closure."/>
    <n v="169"/>
    <s v="USD"/>
    <x v="20"/>
    <x v="0"/>
    <x v="0"/>
    <s v="100% WOOL SUIT JACKET"/>
    <x v="1"/>
    <x v="1"/>
  </r>
  <r>
    <n v="127478"/>
    <x v="2"/>
    <x v="1"/>
    <x v="0"/>
    <x v="0"/>
    <n v="2498"/>
    <x v="21"/>
    <s v="328594167-800-46"/>
    <x v="19"/>
    <s v="Straight fit blazer. Notched lapel collar and long sleeves with buttoned cuffs. Flap pockets at hip. Interior pocket. Central back vent at hem. Front button closure."/>
    <n v="129"/>
    <s v="USD"/>
    <x v="21"/>
    <x v="0"/>
    <x v="0"/>
    <s v="STRAIGHT SUIT JACKET"/>
    <x v="2"/>
    <x v="0"/>
  </r>
  <r>
    <n v="151396"/>
    <x v="2"/>
    <x v="0"/>
    <x v="0"/>
    <x v="0"/>
    <n v="729"/>
    <x v="22"/>
    <s v="323134418-800-3"/>
    <x v="20"/>
    <s v="Leather jacket. Cropped length. Lapel collar and long sleeves. Front hidden in-seam pockets. Front zip closure."/>
    <n v="439"/>
    <s v="USD"/>
    <x v="22"/>
    <x v="0"/>
    <x v="0"/>
    <s v="CROPPED LEATHER JACKET"/>
    <x v="0"/>
    <x v="2"/>
  </r>
  <r>
    <n v="172364"/>
    <x v="1"/>
    <x v="0"/>
    <x v="0"/>
    <x v="1"/>
    <n v="2931"/>
    <x v="23"/>
    <s v="317782474-800-2"/>
    <x v="13"/>
    <s v="Jacket made of faux leather fabric. Rib elastic collar and long sleeves. Zip pockets with flaps at hip. Interior pocket. Elastic hem. Front zip closure."/>
    <n v="109"/>
    <s v="USD"/>
    <x v="23"/>
    <x v="0"/>
    <x v="0"/>
    <s v="FAUX LEATHER BOMBER JACKET"/>
    <x v="2"/>
    <x v="0"/>
  </r>
  <r>
    <n v="195103"/>
    <x v="1"/>
    <x v="0"/>
    <x v="0"/>
    <x v="1"/>
    <n v="2849"/>
    <x v="24"/>
    <s v="330290387-401-2"/>
    <x v="21"/>
    <s v="Varsity jacket with elastic collar and long sleeves. Welt pockets at hip and interior pocket. Embroidered appliquÃ© and contrast front and back patches. Rib trim. Front snap button closure."/>
    <n v="109"/>
    <s v="USD"/>
    <x v="24"/>
    <x v="2"/>
    <x v="0"/>
    <s v="BOUCLÃ‰ TEXTURED JACKET"/>
    <x v="2"/>
    <x v="0"/>
  </r>
  <r>
    <n v="148888"/>
    <x v="2"/>
    <x v="1"/>
    <x v="0"/>
    <x v="1"/>
    <n v="2774"/>
    <x v="25"/>
    <s v="316207898-712-2"/>
    <x v="12"/>
    <s v="Jacket made of technical fabric with padded interior. Tonal elastic rib high collar. Long sleeves. Welt pockets at hip and interior pocket. Interior elastic finish. Front zip closure."/>
    <n v="109"/>
    <s v="USD"/>
    <x v="25"/>
    <x v="0"/>
    <x v="0"/>
    <s v="RIB COLLAR JACKET"/>
    <x v="2"/>
    <x v="0"/>
  </r>
  <r>
    <n v="195879"/>
    <x v="2"/>
    <x v="0"/>
    <x v="0"/>
    <x v="0"/>
    <n v="2339"/>
    <x v="26"/>
    <s v="321496837-400-3"/>
    <x v="22"/>
    <s v="Jacket made of denim fabric with padded interior. Rib elastic collar and long sleeves. Welt pockets at hip and interior pocket. Elastic hem. All-over contrasting topstitching details. Front zip closure."/>
    <n v="129"/>
    <s v="USD"/>
    <x v="26"/>
    <x v="0"/>
    <x v="0"/>
    <s v="DENIM BOMBER JACKET"/>
    <x v="2"/>
    <x v="0"/>
  </r>
  <r>
    <n v="155050"/>
    <x v="1"/>
    <x v="1"/>
    <x v="0"/>
    <x v="0"/>
    <n v="2321"/>
    <x v="27"/>
    <s v="316205038-615-2"/>
    <x v="21"/>
    <s v="Cropped jacket made with wool blend fabric. High collar and long sleeves with elastic cuffs. Front patch pockets with flaps. Elastic hem. Front snap button closure."/>
    <n v="129"/>
    <s v="USD"/>
    <x v="27"/>
    <x v="0"/>
    <x v="0"/>
    <s v="BOUCLÃ‰ TEXTURED JACKET"/>
    <x v="2"/>
    <x v="0"/>
  </r>
  <r>
    <n v="134927"/>
    <x v="1"/>
    <x v="0"/>
    <x v="0"/>
    <x v="0"/>
    <n v="2252"/>
    <x v="28"/>
    <s v="317129011-500-2"/>
    <x v="23"/>
    <s v="Varsity jacket with padded interior. Rib elastic collar and long sleeves in contrast faux leather. Double welt pockets at hip and interior pocket. Contrasting patch appliquÃ©s at front and back. Rib trim. Front snap button closure."/>
    <n v="129"/>
    <s v="USD"/>
    <x v="28"/>
    <x v="0"/>
    <x v="0"/>
    <s v="PATCH BOMBER JACKET"/>
    <x v="2"/>
    <x v="0"/>
  </r>
  <r>
    <n v="180176"/>
    <x v="0"/>
    <x v="0"/>
    <x v="0"/>
    <x v="0"/>
    <n v="2220"/>
    <x v="29"/>
    <s v="335342680-800-44"/>
    <x v="8"/>
    <s v="Slim fit jacket. Notched lapel collar. Long sleeves with buttoned cuffs. Welt pocket at chest and flap pockets at hip. Interior pocket. Back vents. Front button closure."/>
    <n v="129"/>
    <s v="USD"/>
    <x v="29"/>
    <x v="0"/>
    <x v="0"/>
    <s v="SLIM FIT SUIT JACKET"/>
    <x v="2"/>
    <x v="0"/>
  </r>
  <r>
    <n v="159145"/>
    <x v="0"/>
    <x v="0"/>
    <x v="0"/>
    <x v="1"/>
    <n v="2579"/>
    <x v="30"/>
    <s v="311297855-800-2"/>
    <x v="24"/>
    <s v="Faux leather jacket with padded interior. Lapel collar and long sleeves with snap buttoned cuffs. Welt pockets at hip and interior pocket. Elastic hem. Front zip hidden by a snap button flap."/>
    <n v="109"/>
    <s v="USD"/>
    <x v="30"/>
    <x v="0"/>
    <x v="0"/>
    <s v="FAUX LEATHER PUFFER JACKET"/>
    <x v="2"/>
    <x v="0"/>
  </r>
  <r>
    <n v="123150"/>
    <x v="0"/>
    <x v="0"/>
    <x v="0"/>
    <x v="1"/>
    <n v="2074"/>
    <x v="31"/>
    <s v="330274270-800-2"/>
    <x v="25"/>
    <s v="Jacket with lightly padded interior. Rib collar and long sleeves. Flap pockets at waist. Rib trim. Front asymmetric zip closure."/>
    <n v="129"/>
    <s v="USD"/>
    <x v="31"/>
    <x v="0"/>
    <x v="0"/>
    <s v="CROPPED BOMBER JACKET LIMITED EDITION"/>
    <x v="2"/>
    <x v="1"/>
  </r>
  <r>
    <n v="133757"/>
    <x v="1"/>
    <x v="0"/>
    <x v="0"/>
    <x v="1"/>
    <n v="2071"/>
    <x v="32"/>
    <s v="312664937-514-2"/>
    <x v="26"/>
    <s v="Quilted jacket made of technical fabric. High collar and long sleeves. Flap pocket at chest and hidden in-seam pockets at side hip. Interior pocket. Interior elastic hem. Cropped length. Front zip closure."/>
    <n v="129"/>
    <s v="USD"/>
    <x v="32"/>
    <x v="0"/>
    <x v="0"/>
    <s v="POCKET PUFFER JACKET"/>
    <x v="2"/>
    <x v="1"/>
  </r>
  <r>
    <n v="126806"/>
    <x v="0"/>
    <x v="0"/>
    <x v="0"/>
    <x v="0"/>
    <n v="2404"/>
    <x v="33"/>
    <s v="330290387-401-2"/>
    <x v="27"/>
    <s v="Relaxed fit overshirt made of 25% wool fabric. Lapel collar and long sleeves with buttoned cuffs. Patch pocket at chest and side pockets at hip. Front button closure."/>
    <n v="109"/>
    <s v="USD"/>
    <x v="33"/>
    <x v="0"/>
    <x v="0"/>
    <s v="POCKET OVERSHIRT"/>
    <x v="2"/>
    <x v="0"/>
  </r>
  <r>
    <n v="183243"/>
    <x v="2"/>
    <x v="0"/>
    <x v="0"/>
    <x v="1"/>
    <n v="1524"/>
    <x v="34"/>
    <s v="328250627-251-46"/>
    <x v="28"/>
    <s v="Straight fit jacket made of dense stretch fabric. Notched lapel collar and long sleeves with buttoned cuffs. Welt pocket at chest and flap pockets at hip. Interior pocket. Back vents. Front button closure."/>
    <n v="169"/>
    <s v="USD"/>
    <x v="34"/>
    <x v="0"/>
    <x v="0"/>
    <s v="SUIT JACKET"/>
    <x v="1"/>
    <x v="1"/>
  </r>
  <r>
    <n v="133183"/>
    <x v="2"/>
    <x v="0"/>
    <x v="0"/>
    <x v="0"/>
    <n v="2859"/>
    <x v="35"/>
    <s v="318265017-401-2"/>
    <x v="29"/>
    <s v="Jacket made of cotton blend fabric. High collar and long sleeves. Welt pockets at hip. Rib trim. Cropped length. Front zip closure."/>
    <n v="89.9"/>
    <s v="USD"/>
    <x v="35"/>
    <x v="0"/>
    <x v="0"/>
    <s v="COTTON BLEND BOMBER JACKET"/>
    <x v="2"/>
    <x v="0"/>
  </r>
  <r>
    <n v="111521"/>
    <x v="2"/>
    <x v="0"/>
    <x v="0"/>
    <x v="0"/>
    <n v="2553"/>
    <x v="36"/>
    <s v="323672371-507-2"/>
    <x v="30"/>
    <s v="Jacket made of technical fabric. High collar and long sleeves with adjustable cuffs with snap button straps. Flap patch pockets at hip. Adjustable drawstring hem. Washed effect. Front zip hidden by a snap button flap."/>
    <n v="99.9"/>
    <s v="USD"/>
    <x v="36"/>
    <x v="0"/>
    <x v="0"/>
    <s v="WASHED TECHNICAL JACKET"/>
    <x v="2"/>
    <x v="0"/>
  </r>
  <r>
    <n v="147051"/>
    <x v="2"/>
    <x v="1"/>
    <x v="0"/>
    <x v="1"/>
    <n v="2325"/>
    <x v="37"/>
    <s v="320278659-251-2"/>
    <x v="31"/>
    <s v="Regular fit overshirt with quilted interior. Lapel collar and long sleeves with buttoned cuffs. Patch pockets at chest and welt pockets at hip. Front button closure."/>
    <n v="109"/>
    <s v="USD"/>
    <x v="37"/>
    <x v="0"/>
    <x v="0"/>
    <s v="QUILTED STRUCTURED OVERSHIRT"/>
    <x v="2"/>
    <x v="0"/>
  </r>
  <r>
    <n v="182306"/>
    <x v="2"/>
    <x v="1"/>
    <x v="0"/>
    <x v="1"/>
    <n v="2805"/>
    <x v="38"/>
    <s v="317782501-701-2"/>
    <x v="32"/>
    <s v="Relaxed fit overshirt made with cotton fabric. Lapel collar and long sleeves with buttoned cuffs. Flap patch pockets at chest and side hip pockets. Front button closure."/>
    <n v="89.9"/>
    <s v="USD"/>
    <x v="38"/>
    <x v="0"/>
    <x v="0"/>
    <s v="COTTON OVERSHIRT"/>
    <x v="2"/>
    <x v="0"/>
  </r>
  <r>
    <n v="183074"/>
    <x v="1"/>
    <x v="1"/>
    <x v="0"/>
    <x v="1"/>
    <n v="2791"/>
    <x v="39"/>
    <s v="320449897-427-2"/>
    <x v="33"/>
    <s v="Boxy fit jacket. Lapel collar and long sleeves with buttoned cuffs. Patch pockets at hip. Washed effect.Asymmetric hem with side vents. Front button closure."/>
    <n v="89.9"/>
    <s v="USD"/>
    <x v="39"/>
    <x v="0"/>
    <x v="0"/>
    <s v="BOXY FIT DENIM JACKET"/>
    <x v="2"/>
    <x v="0"/>
  </r>
  <r>
    <n v="144651"/>
    <x v="1"/>
    <x v="0"/>
    <x v="0"/>
    <x v="1"/>
    <n v="1791"/>
    <x v="40"/>
    <s v="312571093-710-2"/>
    <x v="22"/>
    <s v="Relaxed fit overshirt made of wool blend fabric. Lapel collar and long sleeves with buttoned cuffs. Welt pockets at hip. Front zip closure."/>
    <n v="139"/>
    <s v="USD"/>
    <x v="40"/>
    <x v="2"/>
    <x v="0"/>
    <s v="DENIM BOMBER JACKET"/>
    <x v="2"/>
    <x v="1"/>
  </r>
  <r>
    <n v="117751"/>
    <x v="1"/>
    <x v="1"/>
    <x v="0"/>
    <x v="1"/>
    <n v="2749"/>
    <x v="41"/>
    <s v="323050745-798-97"/>
    <x v="34"/>
    <s v="Full cut jacket with lapel collar and long sleeves. Front button closure."/>
    <n v="89.9"/>
    <s v="USD"/>
    <x v="41"/>
    <x v="0"/>
    <x v="0"/>
    <s v="CONTRAST JACQUARD JACKET"/>
    <x v="2"/>
    <x v="0"/>
  </r>
  <r>
    <n v="154278"/>
    <x v="0"/>
    <x v="1"/>
    <x v="0"/>
    <x v="0"/>
    <n v="2749"/>
    <x v="42"/>
    <s v="336446858-822-2"/>
    <x v="35"/>
    <s v="Relaxed fit overshirt made with cotton fabric. Lapel collar and long sleeves with buttoned cuffs. Welt pockets at hip. Front button closure."/>
    <n v="89.9"/>
    <s v="USD"/>
    <x v="41"/>
    <x v="0"/>
    <x v="0"/>
    <s v="GEOMETRIC JACQUARD OVERSHIRT"/>
    <x v="2"/>
    <x v="0"/>
  </r>
  <r>
    <n v="162699"/>
    <x v="0"/>
    <x v="1"/>
    <x v="0"/>
    <x v="0"/>
    <n v="2732"/>
    <x v="43"/>
    <s v="329282612-401-2"/>
    <x v="14"/>
    <s v="Round neck long sleeve sweater. Metallic fabric detail and frayed trim."/>
    <n v="89.9"/>
    <s v="USD"/>
    <x v="42"/>
    <x v="1"/>
    <x v="0"/>
    <s v="LEATHER BIKER JACKET"/>
    <x v="2"/>
    <x v="0"/>
  </r>
  <r>
    <n v="133100"/>
    <x v="0"/>
    <x v="0"/>
    <x v="0"/>
    <x v="1"/>
    <n v="2729"/>
    <x v="44"/>
    <s v="311302445-445-97"/>
    <x v="36"/>
    <s v="Jacket made of technical fabric with padded interior. High collar with front zip closure and long sleeves with elastic strap cuffs. Front and back contrast embroidered text. Zip pockets at hip. Adjustable elastic strap at hem with side zippers and strap."/>
    <n v="89.9"/>
    <s v="USD"/>
    <x v="43"/>
    <x v="0"/>
    <x v="0"/>
    <s v="PUFFER JACKET WITH POUCH POCKET"/>
    <x v="2"/>
    <x v="0"/>
  </r>
  <r>
    <n v="112194"/>
    <x v="1"/>
    <x v="0"/>
    <x v="0"/>
    <x v="0"/>
    <n v="2187"/>
    <x v="45"/>
    <s v="314937772-710-2"/>
    <x v="37"/>
    <s v="Varsity jacket made of faux suede fabric. Double welt pockets at hip and interior pocket. Front and back contrasting patch appliquÃ©s and embroidery. Rib trim. Front snap button closure."/>
    <n v="109"/>
    <s v="USD"/>
    <x v="44"/>
    <x v="0"/>
    <x v="0"/>
    <s v="STRETCH POCKET OVERSHIRT"/>
    <x v="2"/>
    <x v="0"/>
  </r>
  <r>
    <n v="117590"/>
    <x v="0"/>
    <x v="1"/>
    <x v="0"/>
    <x v="1"/>
    <n v="2968"/>
    <x v="46"/>
    <s v="320298385-807-2"/>
    <x v="38"/>
    <s v="Relaxed fit jacket. Contrasting lapel collar and long sleeves with buttoned cuffs. Front pouch pockets. Interior pocket. Washed effect. Front zip closure."/>
    <n v="79.900000000000006"/>
    <s v="USD"/>
    <x v="45"/>
    <x v="0"/>
    <x v="0"/>
    <s v="CONTRASTING COLLAR JACKET"/>
    <x v="2"/>
    <x v="0"/>
  </r>
  <r>
    <n v="173576"/>
    <x v="0"/>
    <x v="0"/>
    <x v="0"/>
    <x v="1"/>
    <n v="1838"/>
    <x v="47"/>
    <s v="336378923-700-2"/>
    <x v="39"/>
    <m/>
    <n v="129"/>
    <s v="USD"/>
    <x v="46"/>
    <x v="0"/>
    <x v="0"/>
    <n v="0"/>
    <x v="2"/>
    <x v="1"/>
  </r>
  <r>
    <n v="196427"/>
    <x v="1"/>
    <x v="0"/>
    <x v="0"/>
    <x v="1"/>
    <n v="1401"/>
    <x v="48"/>
    <s v="320600266-745-2"/>
    <x v="40"/>
    <s v="Cropped jacket made of cotton with waxed finish. Lapel collar and long adjustable cuffed sleeves. Welt pockets at hip and interior pocket. Adjustable front drawcord hem. Front zip closure."/>
    <n v="169"/>
    <s v="USD"/>
    <x v="47"/>
    <x v="0"/>
    <x v="0"/>
    <s v="WAXED EFFECT PLAID JACKET"/>
    <x v="1"/>
    <x v="1"/>
  </r>
  <r>
    <n v="143231"/>
    <x v="1"/>
    <x v="1"/>
    <x v="0"/>
    <x v="1"/>
    <n v="2578"/>
    <x v="49"/>
    <s v="311297745-800-2"/>
    <x v="41"/>
    <s v="Jacket made of technical fabric with padded interior. Lapel collar and long sleeves with elastic cuffs. Welt pockets at hip and interior pocket. Adjustable drawstring hem. Front snap button closure."/>
    <n v="89.9"/>
    <s v="USD"/>
    <x v="48"/>
    <x v="0"/>
    <x v="0"/>
    <s v="TECHNICAL PADDED JACKET"/>
    <x v="2"/>
    <x v="0"/>
  </r>
  <r>
    <n v="166421"/>
    <x v="0"/>
    <x v="0"/>
    <x v="0"/>
    <x v="1"/>
    <n v="2878"/>
    <x v="50"/>
    <s v="311302552-800-39"/>
    <x v="42"/>
    <s v="Lace-up boots. Upper in a combination of pieces and finishes. Laces with metal appliquÃ©s and seven pairs of eyelets. Welt detail around upper. Rounded shape. Chunky lug soles."/>
    <n v="79.900000000000006"/>
    <s v="USD"/>
    <x v="49"/>
    <x v="3"/>
    <x v="0"/>
    <s v="HIKING BOOTS"/>
    <x v="2"/>
    <x v="0"/>
  </r>
  <r>
    <n v="132889"/>
    <x v="1"/>
    <x v="0"/>
    <x v="0"/>
    <x v="0"/>
    <n v="2265"/>
    <x v="51"/>
    <s v="311297555-706-2"/>
    <x v="43"/>
    <s v="Boxy fit jacket. Lapel collar and long sleeves with buttoned cuffs. Welt pockets at hip. Front button closure."/>
    <n v="99.9"/>
    <s v="USD"/>
    <x v="50"/>
    <x v="0"/>
    <x v="0"/>
    <s v="FAUX LEATHER BOXY FIT JACKET"/>
    <x v="2"/>
    <x v="0"/>
  </r>
  <r>
    <n v="154224"/>
    <x v="0"/>
    <x v="0"/>
    <x v="0"/>
    <x v="1"/>
    <n v="2474"/>
    <x v="52"/>
    <s v="329282612-401-2"/>
    <x v="44"/>
    <s v="Relaxed fit overshirt made of linen fabric. Lapel collar and long sleeves with buttoned cuffs. Chest patch pockets. Front button closure."/>
    <n v="89.9"/>
    <s v="USD"/>
    <x v="51"/>
    <x v="0"/>
    <x v="0"/>
    <s v="100% LINEN OVERSHIRT"/>
    <x v="2"/>
    <x v="0"/>
  </r>
  <r>
    <n v="152174"/>
    <x v="0"/>
    <x v="1"/>
    <x v="0"/>
    <x v="1"/>
    <n v="2226"/>
    <x v="53"/>
    <s v="317012940-800-2"/>
    <x v="45"/>
    <s v="Jacket made of faux leather fabric. Lapel collar with snap button details. Long sleeves with zip cuffs. Front zip pockets at chest and hip. Interior pocket. Asymmetric front closure with metal zipper."/>
    <n v="99.9"/>
    <s v="USD"/>
    <x v="52"/>
    <x v="0"/>
    <x v="0"/>
    <s v="FAUX LEATHER JACKET"/>
    <x v="2"/>
    <x v="0"/>
  </r>
  <r>
    <n v="163610"/>
    <x v="2"/>
    <x v="0"/>
    <x v="0"/>
    <x v="1"/>
    <n v="2466"/>
    <x v="54"/>
    <s v="311309627-805-39"/>
    <x v="46"/>
    <s v="Suede leather boots. Ridged seam detail at upper. Lacing with two pairs of eyelets. Welt around upper. Slightly chunky sole."/>
    <n v="89.9"/>
    <s v="USD"/>
    <x v="53"/>
    <x v="3"/>
    <x v="0"/>
    <s v="MOC-TOE SUEDE BOOTS"/>
    <x v="2"/>
    <x v="0"/>
  </r>
  <r>
    <n v="173508"/>
    <x v="1"/>
    <x v="0"/>
    <x v="0"/>
    <x v="1"/>
    <n v="1658"/>
    <x v="55"/>
    <s v="322410604-401-2"/>
    <x v="6"/>
    <s v="Jacket made of dense technical fabric. Lapel collar and long sleeves with buttoned cuffs. Multi-functional front pockets. Front zip hidden by a snap button flap."/>
    <n v="129"/>
    <s v="USD"/>
    <x v="54"/>
    <x v="0"/>
    <x v="0"/>
    <s v="POCKET JACKET"/>
    <x v="2"/>
    <x v="1"/>
  </r>
  <r>
    <n v="120228"/>
    <x v="0"/>
    <x v="1"/>
    <x v="0"/>
    <x v="1"/>
    <n v="2347"/>
    <x v="56"/>
    <s v="327116625-505-2"/>
    <x v="47"/>
    <s v="Puffer vest made of technical fabric. Fill is a blend of 60% down and 40% feather. Sleeveless design with high collar. Zip pockets at hip and interior pocket. Adjustable hem with side elastics. Front snap button closure."/>
    <n v="89.9"/>
    <s v="USD"/>
    <x v="55"/>
    <x v="0"/>
    <x v="0"/>
    <s v="100% FEATHER FILL PUFFER JACKET"/>
    <x v="2"/>
    <x v="0"/>
  </r>
  <r>
    <n v="127314"/>
    <x v="0"/>
    <x v="0"/>
    <x v="0"/>
    <x v="0"/>
    <n v="2076"/>
    <x v="57"/>
    <s v="311287147-723-39"/>
    <x v="48"/>
    <s v="Ankle boots. Made of leather with a suede finish. Faux shearling interior and side detail. Rounded shape. Welt around upper. Back pull tab. Chunky lug soles."/>
    <n v="99.9"/>
    <s v="USD"/>
    <x v="56"/>
    <x v="3"/>
    <x v="0"/>
    <s v="FAUX SHEARLING LINED SUEDE BOOTS"/>
    <x v="2"/>
    <x v="1"/>
  </r>
  <r>
    <n v="174171"/>
    <x v="2"/>
    <x v="0"/>
    <x v="0"/>
    <x v="0"/>
    <n v="2273"/>
    <x v="58"/>
    <s v="328332050-700-97"/>
    <x v="49"/>
    <s v="Jacket with lightly padded interior. Corduroy lapel collar. Long sleeves. Patch pockets at hip. Front button closure."/>
    <n v="89.9"/>
    <s v="USD"/>
    <x v="57"/>
    <x v="0"/>
    <x v="0"/>
    <s v="EMBROIDERED FOREST JACKET"/>
    <x v="2"/>
    <x v="0"/>
  </r>
  <r>
    <n v="134429"/>
    <x v="1"/>
    <x v="1"/>
    <x v="0"/>
    <x v="1"/>
    <n v="2914"/>
    <x v="59"/>
    <s v="311303003-407-38"/>
    <x v="50"/>
    <s v="Straight fit jeans. Five pockets. Washed effect with rips at legs. Front button closure."/>
    <n v="69.900000000000006"/>
    <s v="USD"/>
    <x v="58"/>
    <x v="4"/>
    <x v="0"/>
    <s v="RIPPED STRAIGHT FIT JEANS"/>
    <x v="2"/>
    <x v="0"/>
  </r>
  <r>
    <n v="112917"/>
    <x v="1"/>
    <x v="0"/>
    <x v="0"/>
    <x v="0"/>
    <n v="1568"/>
    <x v="60"/>
    <s v="328303236-420-44"/>
    <x v="51"/>
    <s v="Slim fit jacket made of viscose blend fabric. Notched lapel collar. Long sleeves with buttoned cuffs. Welt pocket at chest and flap pockets at hip. Interior pocket. Back vents. Front button closure."/>
    <n v="129"/>
    <s v="USD"/>
    <x v="59"/>
    <x v="0"/>
    <x v="0"/>
    <s v="STRETCH SUIT JACKET"/>
    <x v="2"/>
    <x v="1"/>
  </r>
  <r>
    <n v="185800"/>
    <x v="0"/>
    <x v="1"/>
    <x v="0"/>
    <x v="0"/>
    <n v="1841"/>
    <x v="61"/>
    <s v="321993245-500-2"/>
    <x v="52"/>
    <s v="Regular fit overshirt with lightly padded interior. Lapel collar and long sleeves with buttoned cuffs. Flap pockets at hip. Front button closure."/>
    <n v="109"/>
    <s v="USD"/>
    <x v="60"/>
    <x v="0"/>
    <x v="0"/>
    <s v="TECHNICAL OVERSHIRT"/>
    <x v="2"/>
    <x v="1"/>
  </r>
  <r>
    <n v="140028"/>
    <x v="1"/>
    <x v="0"/>
    <x v="0"/>
    <x v="0"/>
    <n v="1260"/>
    <x v="62"/>
    <s v="329186122-800-2"/>
    <x v="53"/>
    <s v="Oversized cropped jacket. Notched lapel collar and long sleeves with buttoned cuffs. Flap pockets at waist ad interior pocket. Front button closure."/>
    <n v="159"/>
    <s v="USD"/>
    <x v="61"/>
    <x v="0"/>
    <x v="0"/>
    <s v="OVERSIZED CROPPED JACKET LIMITED EDITION"/>
    <x v="1"/>
    <x v="2"/>
  </r>
  <r>
    <n v="125408"/>
    <x v="0"/>
    <x v="0"/>
    <x v="0"/>
    <x v="0"/>
    <n v="2220"/>
    <x v="63"/>
    <s v="311297509-800-2"/>
    <x v="15"/>
    <s v="Varsity jacket with elastic collar and long sleeves. Welt pockets at hip and interior pocket. Embroidered appliquÃ© and contrast front and back patches. Rib trim. Front snap button closure."/>
    <n v="89.9"/>
    <s v="USD"/>
    <x v="62"/>
    <x v="0"/>
    <x v="0"/>
    <s v="CONTRASTING PATCHES BOMBER JACKET"/>
    <x v="2"/>
    <x v="0"/>
  </r>
  <r>
    <n v="148823"/>
    <x v="1"/>
    <x v="1"/>
    <x v="0"/>
    <x v="0"/>
    <n v="2211"/>
    <x v="64"/>
    <s v="320680326-107-39"/>
    <x v="54"/>
    <s v="Fisherman sandals. Made of leather with a suede finish. Crossed straps at front. Buckled ankle strap closure. Slightly chunky soles."/>
    <n v="89.9"/>
    <s v="USD"/>
    <x v="63"/>
    <x v="3"/>
    <x v="0"/>
    <s v="SUEDE FISHERMAN SANDALS"/>
    <x v="2"/>
    <x v="0"/>
  </r>
  <r>
    <n v="144848"/>
    <x v="2"/>
    <x v="1"/>
    <x v="0"/>
    <x v="1"/>
    <n v="2193"/>
    <x v="65"/>
    <s v="311287149-800-39"/>
    <x v="55"/>
    <s v="High shaft boots. Lacing with eight pairs of eyelets. Back pull tab for ease. Rounded shape. Chunky lug soles."/>
    <n v="89.9"/>
    <s v="USD"/>
    <x v="64"/>
    <x v="3"/>
    <x v="0"/>
    <s v="CHUNKY SOLE CANVAS LACE-UP BOOTS"/>
    <x v="2"/>
    <x v="0"/>
  </r>
  <r>
    <n v="168516"/>
    <x v="2"/>
    <x v="0"/>
    <x v="0"/>
    <x v="1"/>
    <n v="2168"/>
    <x v="66"/>
    <s v="336446858-822-2"/>
    <x v="56"/>
    <s v="Jacket made of faux shearling fabric. V-neckline and long sleeves with elastic cuffs. Lined interior with structured mesh fabric. Welt pockets at hip. Adjustable hem with side elastics. Front snap button closure."/>
    <n v="89.9"/>
    <s v="USD"/>
    <x v="65"/>
    <x v="2"/>
    <x v="0"/>
    <s v="LIGHTWEIGHT BOMBER JACKET"/>
    <x v="2"/>
    <x v="1"/>
  </r>
  <r>
    <n v="111957"/>
    <x v="1"/>
    <x v="0"/>
    <x v="0"/>
    <x v="1"/>
    <n v="2164"/>
    <x v="67"/>
    <s v="311307624-500-39"/>
    <x v="57"/>
    <s v="Loafers. Made of leather with a suede finish. Ornamental saddle detail at instep. Rounded shape. Contrasting colored sole."/>
    <n v="89.9"/>
    <s v="USD"/>
    <x v="66"/>
    <x v="3"/>
    <x v="0"/>
    <s v="SUEDE PENNY LOAFERS"/>
    <x v="2"/>
    <x v="1"/>
  </r>
  <r>
    <n v="165910"/>
    <x v="0"/>
    <x v="0"/>
    <x v="0"/>
    <x v="1"/>
    <n v="2760"/>
    <x v="68"/>
    <s v="313890651-712-2"/>
    <x v="58"/>
    <s v="Sweater made with 22% wool and 10% alpaca. Round neck and long sleeves. Faux pearl appliquÃ©."/>
    <n v="69.900000000000006"/>
    <s v="USD"/>
    <x v="67"/>
    <x v="1"/>
    <x v="1"/>
    <s v="KNIT SWEATER WITH PEARLS"/>
    <x v="2"/>
    <x v="0"/>
  </r>
  <r>
    <n v="119044"/>
    <x v="1"/>
    <x v="1"/>
    <x v="0"/>
    <x v="0"/>
    <n v="1140"/>
    <x v="69"/>
    <s v="320026789-714-2"/>
    <x v="20"/>
    <s v="Relaxed fit overshirt made of 25% wool fabric. Lapel collar and long sleeves with buttoned cuffs. Patch pocket at chest and side pockets at hip. Front button closure."/>
    <n v="169"/>
    <s v="USD"/>
    <x v="68"/>
    <x v="1"/>
    <x v="0"/>
    <s v="CROPPED LEATHER JACKET"/>
    <x v="1"/>
    <x v="2"/>
  </r>
  <r>
    <n v="193686"/>
    <x v="1"/>
    <x v="0"/>
    <x v="0"/>
    <x v="1"/>
    <n v="1899"/>
    <x v="70"/>
    <s v="311292343-700-39"/>
    <x v="59"/>
    <s v="Loafers. Made of leather. Smooth upper with ruching at toe. Decorative fringed tassels at instep. Rounded shape. Welt around upper. Chunky lug soles."/>
    <n v="99.9"/>
    <s v="USD"/>
    <x v="69"/>
    <x v="3"/>
    <x v="0"/>
    <s v="TASSEL LEATHER LOAFERS"/>
    <x v="2"/>
    <x v="1"/>
  </r>
  <r>
    <n v="163982"/>
    <x v="2"/>
    <x v="1"/>
    <x v="0"/>
    <x v="1"/>
    <n v="2685"/>
    <x v="71"/>
    <s v="318209963-800-2"/>
    <x v="45"/>
    <s v="Cropped overshirt. Lapel collar and long sleeves with buttoned cuffs. Chest patch pocket. Irregular trim. Front button closure."/>
    <n v="69.900000000000006"/>
    <s v="USD"/>
    <x v="70"/>
    <x v="2"/>
    <x v="0"/>
    <s v="FAUX LEATHER JACKET"/>
    <x v="2"/>
    <x v="0"/>
  </r>
  <r>
    <n v="110295"/>
    <x v="0"/>
    <x v="0"/>
    <x v="0"/>
    <x v="1"/>
    <n v="1448"/>
    <x v="72"/>
    <s v="322547863-811-2"/>
    <x v="60"/>
    <s v="Boxy fit jacket. High collar with adjustable hood and long sleeves with buttoned cuffs. Patch pockets with flaps at chest. Front straps with multi-functional ring. Washed effect. Front hidden zip and snap button closure."/>
    <n v="129"/>
    <s v="USD"/>
    <x v="71"/>
    <x v="0"/>
    <x v="0"/>
    <s v="HOODED DENIM JACKET"/>
    <x v="2"/>
    <x v="1"/>
  </r>
  <r>
    <n v="141904"/>
    <x v="0"/>
    <x v="0"/>
    <x v="0"/>
    <x v="0"/>
    <n v="1712"/>
    <x v="73"/>
    <s v="313845662-400-3"/>
    <x v="61"/>
    <s v="Lapel collar jacket with long sleeves with buttoned cuffs. Patch pockets with flaps at chest and side pockets at hip. Front hidden button closure."/>
    <n v="109"/>
    <s v="USD"/>
    <x v="72"/>
    <x v="0"/>
    <x v="0"/>
    <s v="JACQUARD DENIM JACKET"/>
    <x v="2"/>
    <x v="1"/>
  </r>
  <r>
    <n v="128179"/>
    <x v="0"/>
    <x v="0"/>
    <x v="0"/>
    <x v="1"/>
    <n v="2060"/>
    <x v="74"/>
    <s v="311287226-472-2"/>
    <x v="62"/>
    <s v="Jacket made of technical fabric with padded interior. High collar and long sleeves with elastic cuffs. Front pockets with hidden zip closure. Elastic hem. Front zip closure."/>
    <n v="89.9"/>
    <s v="USD"/>
    <x v="73"/>
    <x v="0"/>
    <x v="0"/>
    <s v="COLOR BLOCK PUFFER JACKET"/>
    <x v="2"/>
    <x v="1"/>
  </r>
  <r>
    <n v="139967"/>
    <x v="0"/>
    <x v="1"/>
    <x v="0"/>
    <x v="1"/>
    <n v="2634"/>
    <x v="75"/>
    <s v="311282631-712-2"/>
    <x v="53"/>
    <s v="V-neck sweater with long sleeves. Rib trim."/>
    <n v="69.900000000000006"/>
    <s v="USD"/>
    <x v="74"/>
    <x v="2"/>
    <x v="0"/>
    <s v="OVERSIZED CROPPED JACKET LIMITED EDITION"/>
    <x v="2"/>
    <x v="0"/>
  </r>
  <r>
    <n v="134763"/>
    <x v="2"/>
    <x v="1"/>
    <x v="0"/>
    <x v="0"/>
    <n v="2048"/>
    <x v="76"/>
    <s v="315947178-800-2"/>
    <x v="63"/>
    <s v="Quilted jacket made of technical fabric. Lapel collar and long sleeves. Welt pockets at hip. Rib trim. Front zip closure."/>
    <n v="89.9"/>
    <s v="USD"/>
    <x v="75"/>
    <x v="0"/>
    <x v="0"/>
    <s v="PADDED BOMBER JACKET"/>
    <x v="2"/>
    <x v="1"/>
  </r>
  <r>
    <n v="125409"/>
    <x v="0"/>
    <x v="0"/>
    <x v="0"/>
    <x v="1"/>
    <n v="2040"/>
    <x v="77"/>
    <s v="330290360-427-3"/>
    <x v="64"/>
    <s v="Slightly cropped denim jacket. Lapel collar and long sleeves with buttoned cuffs. Flap patch pocket at chest and side hip. Washed effect. Front button closure."/>
    <n v="89.9"/>
    <s v="USD"/>
    <x v="76"/>
    <x v="0"/>
    <x v="0"/>
    <s v="POCKET DENIM JACKET"/>
    <x v="2"/>
    <x v="1"/>
  </r>
  <r>
    <n v="133078"/>
    <x v="1"/>
    <x v="1"/>
    <x v="0"/>
    <x v="0"/>
    <n v="2535"/>
    <x v="78"/>
    <s v="311302424-409-2"/>
    <x v="63"/>
    <s v="Jacket made of technical fabric with lightly padded interior. Rib elastic collar and long sleeves. Zip pockets at hip. Elastic hem. Front zip closure."/>
    <n v="69.900000000000006"/>
    <s v="USD"/>
    <x v="77"/>
    <x v="0"/>
    <x v="0"/>
    <s v="PADDED BOMBER JACKET"/>
    <x v="2"/>
    <x v="0"/>
  </r>
  <r>
    <n v="165158"/>
    <x v="2"/>
    <x v="1"/>
    <x v="0"/>
    <x v="1"/>
    <n v="1622"/>
    <x v="79"/>
    <s v="323675323-700-2"/>
    <x v="65"/>
    <s v="Jacket made of technical fabric. Lapel collar and long sleeves with pocket detail. Welt pockets at hip and interior pocket. Washed effect. Elasticized trim. Front zip hidden by a snap button flap."/>
    <n v="109"/>
    <s v="USD"/>
    <x v="78"/>
    <x v="0"/>
    <x v="0"/>
    <s v="WASHED EFFECT BOMBER JACKET"/>
    <x v="2"/>
    <x v="1"/>
  </r>
  <r>
    <n v="123077"/>
    <x v="2"/>
    <x v="1"/>
    <x v="0"/>
    <x v="1"/>
    <n v="1603"/>
    <x v="80"/>
    <s v="320671529-802-2"/>
    <x v="61"/>
    <s v="Jacket made of technical fabric with padded interior. Lapel collar and long sleeves with elastic cuffs. Welt pockets at hip and interior pocket. Adjustable drawstring hem. Front snap button closure."/>
    <n v="109"/>
    <s v="USD"/>
    <x v="79"/>
    <x v="2"/>
    <x v="0"/>
    <s v="JACQUARD DENIM JACKET"/>
    <x v="2"/>
    <x v="1"/>
  </r>
  <r>
    <n v="138505"/>
    <x v="2"/>
    <x v="1"/>
    <x v="0"/>
    <x v="1"/>
    <n v="2478"/>
    <x v="81"/>
    <s v="335663355-406-2"/>
    <x v="66"/>
    <s v="Denim jacket with lapel collar and long sleeves with buttoned cuffs. Flap pockets at chest and welt pockets at hip. All over washed effect and rips. Front button closure."/>
    <n v="69.900000000000006"/>
    <s v="USD"/>
    <x v="80"/>
    <x v="0"/>
    <x v="0"/>
    <s v="RIPPED DENIM JACKET"/>
    <x v="2"/>
    <x v="0"/>
  </r>
  <r>
    <n v="190238"/>
    <x v="2"/>
    <x v="1"/>
    <x v="0"/>
    <x v="0"/>
    <n v="1917"/>
    <x v="82"/>
    <s v="328279967-409-3"/>
    <x v="67"/>
    <s v="Jacket made of cotton denim. Lapel collar and long sleeves with buttoned cuffs. Patch pockets at chest and side pockets at hip. Washed effect. Front zip closure."/>
    <n v="89.9"/>
    <s v="USD"/>
    <x v="81"/>
    <x v="0"/>
    <x v="0"/>
    <s v="ACID WASH DENIM JACKET"/>
    <x v="2"/>
    <x v="1"/>
  </r>
  <r>
    <n v="166331"/>
    <x v="1"/>
    <x v="0"/>
    <x v="0"/>
    <x v="0"/>
    <n v="2877"/>
    <x v="83"/>
    <s v="324186867-642-2"/>
    <x v="68"/>
    <s v="Wool and silk blend sweater. Asymmetric neckline and long sleeves."/>
    <n v="59.9"/>
    <s v="USD"/>
    <x v="82"/>
    <x v="1"/>
    <x v="1"/>
    <s v="ASYMMETRICAL WOOL AND SILK BLEND SWEATER"/>
    <x v="2"/>
    <x v="0"/>
  </r>
  <r>
    <n v="159182"/>
    <x v="2"/>
    <x v="0"/>
    <x v="0"/>
    <x v="1"/>
    <n v="1014"/>
    <x v="84"/>
    <s v="321993245-500-2"/>
    <x v="7"/>
    <s v="Jacket made of technical fabric with padded interior. Tonal elastic rib high collar. Long sleeves. Welt pockets at hip and interior pocket. Interior elastic finish. Front zip closure."/>
    <n v="169"/>
    <s v="USD"/>
    <x v="83"/>
    <x v="0"/>
    <x v="0"/>
    <s v="FAUX LEATHER OVERSIZED JACKET LIMITED EDITION"/>
    <x v="1"/>
    <x v="2"/>
  </r>
  <r>
    <n v="158781"/>
    <x v="0"/>
    <x v="0"/>
    <x v="0"/>
    <x v="0"/>
    <n v="2443"/>
    <x v="85"/>
    <s v="318209963-800-2"/>
    <x v="69"/>
    <s v="Relaxed fit overshirt. Lapel collar and long sleeves. Chest patch pocket. Front snap button closure."/>
    <n v="69.900000000000006"/>
    <s v="USD"/>
    <x v="84"/>
    <x v="0"/>
    <x v="0"/>
    <s v="FAUX SUEDE OVERSHIRT"/>
    <x v="2"/>
    <x v="0"/>
  </r>
  <r>
    <n v="121348"/>
    <x v="0"/>
    <x v="1"/>
    <x v="0"/>
    <x v="0"/>
    <n v="1008"/>
    <x v="86"/>
    <s v="323216360-406-2"/>
    <x v="43"/>
    <s v="Relaxed fit overshirt made of stretch fabric. Lapel collar and long sleeves with buttoned cuffs. Chest patch pocket. Front button closure."/>
    <n v="169"/>
    <s v="USD"/>
    <x v="85"/>
    <x v="2"/>
    <x v="0"/>
    <s v="FAUX LEATHER BOXY FIT JACKET"/>
    <x v="1"/>
    <x v="2"/>
  </r>
  <r>
    <n v="120354"/>
    <x v="1"/>
    <x v="0"/>
    <x v="0"/>
    <x v="1"/>
    <n v="2836"/>
    <x v="87"/>
    <s v="311282293-131-39"/>
    <x v="70"/>
    <s v="Sandals. Made of leather with a suede finish. Two wide straps at instep with buckles. Insole with anatomical shaped footbed. Welt around upper. Chunky lug soles."/>
    <n v="59.9"/>
    <s v="USD"/>
    <x v="86"/>
    <x v="3"/>
    <x v="0"/>
    <s v="DOUBLE STRAP SUEDE SANDALS"/>
    <x v="2"/>
    <x v="0"/>
  </r>
  <r>
    <n v="110329"/>
    <x v="2"/>
    <x v="1"/>
    <x v="0"/>
    <x v="0"/>
    <n v="2397"/>
    <x v="88"/>
    <s v="314937773-800-39"/>
    <x v="71"/>
    <s v="Sneakers. Made of leather. Upper in a combination of pieces and finishes. Lacing with six pairs of eyelets. Rounded shape. Chunky sole."/>
    <n v="69.900000000000006"/>
    <s v="USD"/>
    <x v="87"/>
    <x v="3"/>
    <x v="0"/>
    <s v="CONTRAST SOLE LEATHER SNEAKERS"/>
    <x v="2"/>
    <x v="0"/>
  </r>
  <r>
    <n v="129247"/>
    <x v="2"/>
    <x v="0"/>
    <x v="0"/>
    <x v="1"/>
    <n v="2386"/>
    <x v="89"/>
    <s v="311302532-102-39"/>
    <x v="72"/>
    <s v="Sneakers. Made of leather with a suede finish. Laces with five pairs of eyelets. Chunky soles."/>
    <n v="69.900000000000006"/>
    <s v="USD"/>
    <x v="88"/>
    <x v="3"/>
    <x v="0"/>
    <s v="SUEDE SNEAKERS"/>
    <x v="2"/>
    <x v="0"/>
  </r>
  <r>
    <n v="146839"/>
    <x v="1"/>
    <x v="1"/>
    <x v="0"/>
    <x v="1"/>
    <n v="1525"/>
    <x v="90"/>
    <s v="321496813-710-2"/>
    <x v="73"/>
    <s v="Jacket with padded interior. Rib elastic collar and long sleeves. Flap pockets at hip and interior pocket. Rib trim. Front zip closure."/>
    <n v="109"/>
    <s v="USD"/>
    <x v="89"/>
    <x v="0"/>
    <x v="0"/>
    <s v="BOMBER JACKET"/>
    <x v="2"/>
    <x v="1"/>
  </r>
  <r>
    <n v="150424"/>
    <x v="2"/>
    <x v="1"/>
    <x v="0"/>
    <x v="0"/>
    <n v="2067"/>
    <x v="91"/>
    <s v="313008692-514-2"/>
    <x v="74"/>
    <s v="Overshirt with quilted interior. Lapel collar and long sleeves with buttoned cuffs. Flap patch pockets at chest and in-seam pockets at side hip. Front snap button closure."/>
    <n v="79.900000000000006"/>
    <s v="USD"/>
    <x v="90"/>
    <x v="0"/>
    <x v="0"/>
    <s v="PADDED CORDUROY OVERSHIRT"/>
    <x v="2"/>
    <x v="1"/>
  </r>
  <r>
    <n v="124088"/>
    <x v="0"/>
    <x v="0"/>
    <x v="0"/>
    <x v="0"/>
    <n v="2065"/>
    <x v="92"/>
    <s v="320531693-707-2"/>
    <x v="75"/>
    <s v="Roomy jacket made of lightweight fabric. Lapel collar and long sleeves with elastic cuffs. Contrasting patch appliquÃ©s with embroidery at front and back. Front pouch pocket. Elastic hem. Front zip closure."/>
    <n v="79.900000000000006"/>
    <s v="USD"/>
    <x v="91"/>
    <x v="0"/>
    <x v="0"/>
    <s v="EMBROIDERED PATCH JACKET"/>
    <x v="2"/>
    <x v="1"/>
  </r>
  <r>
    <n v="135610"/>
    <x v="1"/>
    <x v="0"/>
    <x v="0"/>
    <x v="0"/>
    <n v="1513"/>
    <x v="93"/>
    <s v="321501682-800-2"/>
    <x v="76"/>
    <s v="Jacket made of wool blend fabric. Lapel collar and long sleeves. Welt pockets at hip and interior pocket. Rib trim. Front zip closure."/>
    <n v="109"/>
    <s v="USD"/>
    <x v="92"/>
    <x v="0"/>
    <x v="0"/>
    <s v="WOOL BLEND JACKET"/>
    <x v="2"/>
    <x v="1"/>
  </r>
  <r>
    <n v="133109"/>
    <x v="2"/>
    <x v="1"/>
    <x v="0"/>
    <x v="0"/>
    <n v="2063"/>
    <x v="94"/>
    <s v="321143726-712-2"/>
    <x v="77"/>
    <s v="Jacket made of textured fabric. Lapel collar and long sleeves with buttoned cuffs. Patch pockets at chest and hidden pockets at hip. Side vents at hem. Front button closure."/>
    <n v="79.900000000000006"/>
    <s v="USD"/>
    <x v="93"/>
    <x v="0"/>
    <x v="0"/>
    <s v="TEXTURED JACKET"/>
    <x v="2"/>
    <x v="1"/>
  </r>
  <r>
    <n v="124981"/>
    <x v="2"/>
    <x v="1"/>
    <x v="0"/>
    <x v="0"/>
    <n v="1832"/>
    <x v="95"/>
    <s v="320264577-800-2"/>
    <x v="78"/>
    <s v="Cropped jacket with lightly quilted interior. Lapel collar and long sleeves. Flap patch pockets at hip. Washed effect. Rib hems. Front zip closure."/>
    <n v="89.9"/>
    <s v="USD"/>
    <x v="94"/>
    <x v="0"/>
    <x v="0"/>
    <s v="PADDED DENIM JACKET"/>
    <x v="2"/>
    <x v="1"/>
  </r>
  <r>
    <n v="117725"/>
    <x v="1"/>
    <x v="1"/>
    <x v="0"/>
    <x v="0"/>
    <n v="1506"/>
    <x v="96"/>
    <s v="311297489-800-2"/>
    <x v="79"/>
    <s v="Varsity jacket with stretchy collar and contrasting hood. Long sleeves. Welt pockets at hip and interior pocket. Embroidered appliquÃ© and contrast front and back patches. Rib trim. Front snap button closure."/>
    <n v="109"/>
    <s v="USD"/>
    <x v="95"/>
    <x v="0"/>
    <x v="0"/>
    <s v="CONTRASTING PATCHES HOODED JACKET"/>
    <x v="2"/>
    <x v="1"/>
  </r>
  <r>
    <n v="175927"/>
    <x v="0"/>
    <x v="1"/>
    <x v="0"/>
    <x v="0"/>
    <n v="1506"/>
    <x v="97"/>
    <s v="312978838-611-2"/>
    <x v="80"/>
    <s v="Relaxed fit overshirt made of wool blend fabric. Lapel collar and long sleeves with buttoned cuffs. Welt pockets at hip. Front zip closure."/>
    <n v="109"/>
    <s v="USD"/>
    <x v="95"/>
    <x v="0"/>
    <x v="0"/>
    <s v="ZIPPERED WOOL BLEND OVERSHIRT"/>
    <x v="2"/>
    <x v="1"/>
  </r>
  <r>
    <n v="111979"/>
    <x v="2"/>
    <x v="1"/>
    <x v="0"/>
    <x v="1"/>
    <n v="2734"/>
    <x v="98"/>
    <s v="311307332-202-39"/>
    <x v="81"/>
    <s v="Sneakers. Upper in a combination of pieces and textures. Shoelaces with six pairs of eyelets at different heights. Chunky irregular design soles. Retro-inspired design."/>
    <n v="59.9"/>
    <s v="USD"/>
    <x v="96"/>
    <x v="3"/>
    <x v="0"/>
    <s v="CHUNKY SNEAKERS"/>
    <x v="2"/>
    <x v="0"/>
  </r>
  <r>
    <n v="194339"/>
    <x v="0"/>
    <x v="1"/>
    <x v="0"/>
    <x v="1"/>
    <n v="1792"/>
    <x v="99"/>
    <s v="311302863-800-2"/>
    <x v="82"/>
    <s v="Lapel collar jacket with long sleeves with buttoned cuffs. Flap pockets at chest and welt pockets at hip. Front button closure."/>
    <n v="89.9"/>
    <s v="USD"/>
    <x v="97"/>
    <x v="0"/>
    <x v="0"/>
    <s v="FAUX SUEDE JACKET"/>
    <x v="2"/>
    <x v="1"/>
  </r>
  <r>
    <n v="111760"/>
    <x v="0"/>
    <x v="1"/>
    <x v="0"/>
    <x v="1"/>
    <n v="1474"/>
    <x v="100"/>
    <s v="321143723-401-2"/>
    <x v="83"/>
    <s v="Jacket made of technical fabric with quilted interior. Lapel collar and long sleeves. Flap patch pockets at hip. Rib trim. Front button closure."/>
    <n v="109"/>
    <s v="USD"/>
    <x v="98"/>
    <x v="0"/>
    <x v="0"/>
    <s v="TECHNICAL JACKET WITH POCKETS"/>
    <x v="2"/>
    <x v="1"/>
  </r>
  <r>
    <n v="168571"/>
    <x v="1"/>
    <x v="1"/>
    <x v="0"/>
    <x v="1"/>
    <n v="1778"/>
    <x v="101"/>
    <s v="311282631-712-2"/>
    <x v="27"/>
    <s v="Relaxed fit overshirt. Lapel collar and long sleeves with adjustable button cuffs. Welt pockets at hip. Front zip hidden by a snap button flap."/>
    <n v="89.9"/>
    <s v="USD"/>
    <x v="99"/>
    <x v="0"/>
    <x v="0"/>
    <s v="POCKET OVERSHIRT"/>
    <x v="2"/>
    <x v="1"/>
  </r>
  <r>
    <n v="156342"/>
    <x v="2"/>
    <x v="0"/>
    <x v="0"/>
    <x v="0"/>
    <n v="1466"/>
    <x v="102"/>
    <s v="311287318-400-38"/>
    <x v="84"/>
    <s v="Flared jeans. Patch pockets with flaps at hip. Patch pocket appliquÃ©s at legs. Washed effect. Adjustable hem with zippers. Front zipper and crossover button closure."/>
    <n v="109"/>
    <s v="USD"/>
    <x v="100"/>
    <x v="4"/>
    <x v="0"/>
    <s v="FLARED FIT CARGO JEANS"/>
    <x v="2"/>
    <x v="1"/>
  </r>
  <r>
    <n v="183064"/>
    <x v="2"/>
    <x v="0"/>
    <x v="0"/>
    <x v="1"/>
    <n v="1773"/>
    <x v="103"/>
    <s v="311282469-505-2"/>
    <x v="27"/>
    <s v="Cropped overshirt. Lapel collar and long sleeves with buttoned cuffs. Front patch pockets. Irregular finished seams. Front button closure."/>
    <n v="89.9"/>
    <s v="USD"/>
    <x v="101"/>
    <x v="0"/>
    <x v="0"/>
    <s v="POCKET OVERSHIRT"/>
    <x v="2"/>
    <x v="1"/>
  </r>
  <r>
    <n v="123985"/>
    <x v="0"/>
    <x v="1"/>
    <x v="0"/>
    <x v="1"/>
    <n v="2240"/>
    <x v="104"/>
    <s v="311302877-203-39"/>
    <x v="85"/>
    <s v="Sneakers. Combination of colors and pieces at upper. Lacing with six pairs of eyelets. Chunky rubber sole with irregular design."/>
    <n v="69.900000000000006"/>
    <s v="USD"/>
    <x v="102"/>
    <x v="3"/>
    <x v="0"/>
    <s v="MULTICOLOR SNEAKERS"/>
    <x v="2"/>
    <x v="0"/>
  </r>
  <r>
    <n v="115873"/>
    <x v="0"/>
    <x v="0"/>
    <x v="0"/>
    <x v="0"/>
    <n v="2606"/>
    <x v="105"/>
    <s v="311297400-803-1"/>
    <x v="86"/>
    <s v="V-neck cropped sweater with long sleeves. Front patch pockets. Contrast topstitching."/>
    <n v="59.9"/>
    <s v="USD"/>
    <x v="103"/>
    <x v="1"/>
    <x v="1"/>
    <s v="CONTRAST TOPSTITCHING CROP KNIT SWEATER"/>
    <x v="2"/>
    <x v="0"/>
  </r>
  <r>
    <n v="187234"/>
    <x v="2"/>
    <x v="0"/>
    <x v="0"/>
    <x v="0"/>
    <n v="2575"/>
    <x v="106"/>
    <s v="342657802-914-2"/>
    <x v="37"/>
    <s v="Overshirt made of stretchy fabric. Lapel collar and long sleeves with snap buttoned cuffs. Chest patch pockets. Front snap button closure."/>
    <n v="59.9"/>
    <s v="USD"/>
    <x v="104"/>
    <x v="0"/>
    <x v="0"/>
    <s v="STRETCH POCKET OVERSHIRT"/>
    <x v="2"/>
    <x v="0"/>
  </r>
  <r>
    <n v="198375"/>
    <x v="0"/>
    <x v="1"/>
    <x v="0"/>
    <x v="1"/>
    <n v="2202"/>
    <x v="107"/>
    <s v="311297763-800-2"/>
    <x v="45"/>
    <s v="Jacket made of faux leather fabric. Lapel collar and long sleeves with snap buttoned cuffs. Welt pockets at hip. Front snap button closure."/>
    <n v="69.900000000000006"/>
    <s v="USD"/>
    <x v="105"/>
    <x v="0"/>
    <x v="0"/>
    <s v="FAUX LEATHER JACKET"/>
    <x v="2"/>
    <x v="0"/>
  </r>
  <r>
    <n v="135490"/>
    <x v="2"/>
    <x v="1"/>
    <x v="0"/>
    <x v="1"/>
    <n v="1094"/>
    <x v="108"/>
    <s v="321151893-609-2"/>
    <x v="87"/>
    <s v="Jacket made of waxed finish fabric with lightly padded interior. Contrast fabric lapel collar. Long sleeves. Patch pockets at hip. Interior pocket. Slightly cropped length. Front hidden zip and button closure."/>
    <n v="139"/>
    <s v="USD"/>
    <x v="106"/>
    <x v="0"/>
    <x v="0"/>
    <s v="MIXED COLLAR WAXED JACKET"/>
    <x v="2"/>
    <x v="2"/>
  </r>
  <r>
    <n v="148230"/>
    <x v="2"/>
    <x v="0"/>
    <x v="0"/>
    <x v="1"/>
    <n v="2494"/>
    <x v="40"/>
    <s v="321480271-802-2"/>
    <x v="88"/>
    <s v="Round neck sweater with jewel appliquÃ©s and long sleeves. Back opening with button closure."/>
    <n v="59.9"/>
    <s v="USD"/>
    <x v="107"/>
    <x v="1"/>
    <x v="1"/>
    <s v="JEWEL KNIT SWEATER"/>
    <x v="2"/>
    <x v="0"/>
  </r>
  <r>
    <n v="119049"/>
    <x v="1"/>
    <x v="1"/>
    <x v="0"/>
    <x v="0"/>
    <n v="1659"/>
    <x v="109"/>
    <s v="323216360-406-2"/>
    <x v="89"/>
    <s v="Boxy fit overshirt. Lapel collar and long sleeves with buttoned cuffs. Chest patch pockets. Washed effect. Front button closure."/>
    <n v="89.9"/>
    <s v="USD"/>
    <x v="108"/>
    <x v="0"/>
    <x v="0"/>
    <s v="POCKET DENIM OVERSHIRT"/>
    <x v="2"/>
    <x v="1"/>
  </r>
  <r>
    <n v="131298"/>
    <x v="0"/>
    <x v="0"/>
    <x v="0"/>
    <x v="1"/>
    <n v="2133"/>
    <x v="110"/>
    <s v="322612356-505-2"/>
    <x v="90"/>
    <s v="Relaxed fit overshirt made with cotton fabric. Lapel collar and long sleeves with buttoned cuffs. Patch pockets at hip. Washed effect. Front button closure."/>
    <n v="69.900000000000006"/>
    <s v="USD"/>
    <x v="109"/>
    <x v="0"/>
    <x v="0"/>
    <s v="PLAID OVERSHIRT"/>
    <x v="2"/>
    <x v="1"/>
  </r>
  <r>
    <n v="114550"/>
    <x v="0"/>
    <x v="1"/>
    <x v="0"/>
    <x v="1"/>
    <n v="2114"/>
    <x v="111"/>
    <s v="311292244-800-39"/>
    <x v="91"/>
    <s v="Running shoes. Upper in a combination of pieces and finishes. Front zip closure. Back pull tab for ease. Chunky soles with irregular design."/>
    <n v="69.900000000000006"/>
    <s v="USD"/>
    <x v="110"/>
    <x v="3"/>
    <x v="0"/>
    <s v="ZIPPER MULTIPIECE SNEAKERS"/>
    <x v="2"/>
    <x v="1"/>
  </r>
  <r>
    <n v="199368"/>
    <x v="2"/>
    <x v="1"/>
    <x v="0"/>
    <x v="0"/>
    <n v="1061"/>
    <x v="112"/>
    <s v="336821611-706-2"/>
    <x v="76"/>
    <s v="Lapel collar jacket with long sleeves with buttoned cuffs. Chest patch pockets and welt pockets at hip. Front button closure."/>
    <n v="139"/>
    <s v="USD"/>
    <x v="111"/>
    <x v="0"/>
    <x v="0"/>
    <s v="WOOL BLEND JACKET"/>
    <x v="2"/>
    <x v="2"/>
  </r>
  <r>
    <n v="163234"/>
    <x v="2"/>
    <x v="1"/>
    <x v="0"/>
    <x v="1"/>
    <n v="1633"/>
    <x v="113"/>
    <s v="322972491-800-2"/>
    <x v="92"/>
    <s v="Lapel collar jacket with long sleeves with buttoned cuffs. Flap pockets at chest and welt pockets at hip. All over washed and uneven textured effect. Front button closure."/>
    <n v="89.9"/>
    <s v="USD"/>
    <x v="112"/>
    <x v="0"/>
    <x v="0"/>
    <s v="TEXTURED DENIM JACKET LIMITED EDITION"/>
    <x v="2"/>
    <x v="1"/>
  </r>
  <r>
    <n v="129906"/>
    <x v="1"/>
    <x v="1"/>
    <x v="0"/>
    <x v="1"/>
    <n v="2089"/>
    <x v="114"/>
    <s v="311292672-800-2"/>
    <x v="93"/>
    <s v="Jacket made of faux suede fabric. Ribbed elastic high collar and long sleeve. Welt pockets at hip. Rib trim. Front zip closure."/>
    <n v="69.900000000000006"/>
    <s v="USD"/>
    <x v="113"/>
    <x v="0"/>
    <x v="0"/>
    <s v="FAUX SUEDE BOMBER JACKET"/>
    <x v="2"/>
    <x v="1"/>
  </r>
  <r>
    <n v="175584"/>
    <x v="2"/>
    <x v="1"/>
    <x v="0"/>
    <x v="1"/>
    <n v="2084"/>
    <x v="115"/>
    <s v="324908098-800-38"/>
    <x v="94"/>
    <s v="Baggy jeans. Five pockets. Washed effect. Front zip and button closure."/>
    <n v="69.900000000000006"/>
    <s v="USD"/>
    <x v="114"/>
    <x v="4"/>
    <x v="0"/>
    <s v="BAGGY FIT JEANS LIMITED EDITION"/>
    <x v="2"/>
    <x v="1"/>
  </r>
  <r>
    <n v="194915"/>
    <x v="1"/>
    <x v="0"/>
    <x v="0"/>
    <x v="1"/>
    <n v="1796"/>
    <x v="116"/>
    <s v="311282298-099-2"/>
    <x v="95"/>
    <s v="Relaxed fit reversible overshirt. Italian collar and long sleeves with buttoned cuffs. Chest patch pocket. Front button closure."/>
    <n v="79.900000000000006"/>
    <s v="USD"/>
    <x v="115"/>
    <x v="0"/>
    <x v="0"/>
    <s v="REVERSIBLE PLAID OVERSHIRT"/>
    <x v="2"/>
    <x v="1"/>
  </r>
  <r>
    <n v="119955"/>
    <x v="2"/>
    <x v="1"/>
    <x v="0"/>
    <x v="1"/>
    <n v="1590"/>
    <x v="117"/>
    <s v="323216370-422-97"/>
    <x v="73"/>
    <s v="Boxy bomber jacket. Rib elastic collar and long sleeves. Welt pockets at hip. Elasticized trim. Front zip closure."/>
    <n v="89.9"/>
    <s v="USD"/>
    <x v="116"/>
    <x v="0"/>
    <x v="0"/>
    <s v="BOMBER JACKET"/>
    <x v="2"/>
    <x v="1"/>
  </r>
  <r>
    <n v="182362"/>
    <x v="2"/>
    <x v="1"/>
    <x v="0"/>
    <x v="1"/>
    <n v="2019"/>
    <x v="118"/>
    <s v="319166635-401-2"/>
    <x v="96"/>
    <s v="Cropped overshirt made of contrast double faced fabric. Lapel collar and long sleeves with buttoned cuffs. Chest patch pocket. Adjustable hem with side elastics. Front button closure partially hidden by a flap."/>
    <n v="69.900000000000006"/>
    <s v="USD"/>
    <x v="117"/>
    <x v="0"/>
    <x v="0"/>
    <s v="CROPPED OVERSHIRT"/>
    <x v="2"/>
    <x v="1"/>
  </r>
  <r>
    <n v="120266"/>
    <x v="2"/>
    <x v="1"/>
    <x v="0"/>
    <x v="1"/>
    <n v="2328"/>
    <x v="119"/>
    <s v="320671529-802-2"/>
    <x v="90"/>
    <s v="Cropped overshirt. Lapel collar and long sleeves with buttoned cuffs. Chest patch pocket. Irregular trim. Front button closure."/>
    <n v="59.9"/>
    <s v="USD"/>
    <x v="118"/>
    <x v="0"/>
    <x v="0"/>
    <s v="PLAID OVERSHIRT"/>
    <x v="2"/>
    <x v="0"/>
  </r>
  <r>
    <n v="171520"/>
    <x v="0"/>
    <x v="0"/>
    <x v="0"/>
    <x v="0"/>
    <n v="2901"/>
    <x v="120"/>
    <s v="322451460-800-1"/>
    <x v="97"/>
    <s v="Round neck long sleeve sweater. Fitted waist with side ruching."/>
    <n v="47.9"/>
    <s v="USD"/>
    <x v="119"/>
    <x v="1"/>
    <x v="1"/>
    <s v="GATHERED WAIST KNIT SWEATER"/>
    <x v="2"/>
    <x v="0"/>
  </r>
  <r>
    <n v="115153"/>
    <x v="1"/>
    <x v="1"/>
    <x v="0"/>
    <x v="1"/>
    <n v="1736"/>
    <x v="121"/>
    <s v="313890650-712-2"/>
    <x v="98"/>
    <s v="Sweater made with 63% alpaca. Round neck and long sleeves."/>
    <n v="79.900000000000006"/>
    <s v="USD"/>
    <x v="120"/>
    <x v="1"/>
    <x v="1"/>
    <s v="ALPACA BLEND OPEN KNIT SWEATER"/>
    <x v="2"/>
    <x v="1"/>
  </r>
  <r>
    <n v="180661"/>
    <x v="2"/>
    <x v="1"/>
    <x v="0"/>
    <x v="0"/>
    <n v="1041"/>
    <x v="122"/>
    <s v="311309598-711-2"/>
    <x v="99"/>
    <s v="Puffer jacket with high collar and adjustable hood. Long sleeves with interior rib cuffs. Welt pockets at hip and interior pocket. Adjustable hem with side elastics. Front zip hidden by a snap button flap."/>
    <n v="129"/>
    <s v="USD"/>
    <x v="121"/>
    <x v="0"/>
    <x v="0"/>
    <s v="HOODED QUILTED JACKET"/>
    <x v="2"/>
    <x v="2"/>
  </r>
  <r>
    <n v="176666"/>
    <x v="1"/>
    <x v="0"/>
    <x v="0"/>
    <x v="1"/>
    <n v="2852"/>
    <x v="123"/>
    <s v="313381662-202-39"/>
    <x v="100"/>
    <s v="Sneakers. Upper in a combination of pieces and colors. Lacing with six pairs of eyelets. Textured chunky soles. Retro style."/>
    <n v="45.9"/>
    <s v="USD"/>
    <x v="122"/>
    <x v="3"/>
    <x v="0"/>
    <s v="MULTI-PIECED RETRO SNEAKERS"/>
    <x v="2"/>
    <x v="0"/>
  </r>
  <r>
    <n v="115581"/>
    <x v="1"/>
    <x v="1"/>
    <x v="0"/>
    <x v="0"/>
    <n v="2728"/>
    <x v="13"/>
    <s v="336449779-104-1"/>
    <x v="101"/>
    <s v="Long sleeve high collar cropped sweater. Frayed hem."/>
    <n v="47.9"/>
    <s v="USD"/>
    <x v="123"/>
    <x v="1"/>
    <x v="1"/>
    <s v="STRIPED CROP KNIT SWEATER"/>
    <x v="2"/>
    <x v="0"/>
  </r>
  <r>
    <n v="152871"/>
    <x v="0"/>
    <x v="1"/>
    <x v="0"/>
    <x v="0"/>
    <n v="1847"/>
    <x v="124"/>
    <s v="312571093-710-2"/>
    <x v="102"/>
    <s v="Overshirt made of diagonal textured cotton fabric. Lapel collar and long sleeves with buttoned cuffs. Patch pockets at hip. Front button closure."/>
    <n v="69.900000000000006"/>
    <s v="USD"/>
    <x v="124"/>
    <x v="0"/>
    <x v="0"/>
    <s v="TEXTURED POCKET OVERSHIRT"/>
    <x v="2"/>
    <x v="1"/>
  </r>
  <r>
    <n v="149487"/>
    <x v="1"/>
    <x v="1"/>
    <x v="0"/>
    <x v="0"/>
    <n v="1258"/>
    <x v="125"/>
    <s v="312978838-611-2"/>
    <x v="9"/>
    <s v="Boxy fit jacket. Lapel collar and long sleeves with buttoned cuffs. Patch pockets at hip. Washed effect.Asymmetric hem with side vents. Front button closure."/>
    <n v="99.9"/>
    <s v="USD"/>
    <x v="125"/>
    <x v="2"/>
    <x v="0"/>
    <s v="LEATHER JACKET"/>
    <x v="2"/>
    <x v="2"/>
  </r>
  <r>
    <n v="174412"/>
    <x v="1"/>
    <x v="1"/>
    <x v="0"/>
    <x v="0"/>
    <n v="1796"/>
    <x v="126"/>
    <s v="311282759-806-2"/>
    <x v="93"/>
    <s v="Jacket made of faux suede fabric. Rib elastic collar and long sleeves. Welt pockets at hip. Rib trim. Front zip closure."/>
    <n v="69.900000000000006"/>
    <s v="USD"/>
    <x v="126"/>
    <x v="0"/>
    <x v="0"/>
    <s v="FAUX SUEDE BOMBER JACKET"/>
    <x v="2"/>
    <x v="1"/>
  </r>
  <r>
    <n v="178281"/>
    <x v="0"/>
    <x v="1"/>
    <x v="0"/>
    <x v="0"/>
    <n v="1145"/>
    <x v="127"/>
    <s v="315758723-401-2"/>
    <x v="73"/>
    <s v="Varsity jacket. High collar and long sleeves. Welt pockets at hip and interior pocket. Rib trim. Front snap button closure."/>
    <n v="109"/>
    <s v="USD"/>
    <x v="127"/>
    <x v="0"/>
    <x v="0"/>
    <s v="BOMBER JACKET"/>
    <x v="2"/>
    <x v="2"/>
  </r>
  <r>
    <n v="193227"/>
    <x v="0"/>
    <x v="0"/>
    <x v="0"/>
    <x v="0"/>
    <n v="1778"/>
    <x v="128"/>
    <s v="317894313-707-3"/>
    <x v="103"/>
    <s v="Round neck long sleeve full cut sweater. Rib trim."/>
    <n v="69.900000000000006"/>
    <s v="USD"/>
    <x v="128"/>
    <x v="1"/>
    <x v="0"/>
    <s v="BRAIDED COLOR BLOCK SWEATER"/>
    <x v="2"/>
    <x v="1"/>
  </r>
  <r>
    <n v="177771"/>
    <x v="0"/>
    <x v="0"/>
    <x v="0"/>
    <x v="0"/>
    <n v="1764"/>
    <x v="105"/>
    <s v="281883711-071-2"/>
    <x v="28"/>
    <s v="Jacket with lightly padded interior. Corduroy lapel collar. Long sleeves. Patch pockets at hip. Front button closure."/>
    <n v="69.900000000000006"/>
    <s v="USD"/>
    <x v="129"/>
    <x v="2"/>
    <x v="0"/>
    <s v="SUIT JACKET"/>
    <x v="2"/>
    <x v="1"/>
  </r>
  <r>
    <n v="171061"/>
    <x v="1"/>
    <x v="1"/>
    <x v="0"/>
    <x v="0"/>
    <n v="2032"/>
    <x v="129"/>
    <s v="320026789-714-2"/>
    <x v="90"/>
    <s v="Relaxed fit overshirt made of viscose blend fabric. Lapel collar and long sleeves with buttoned cuffs. Chest patch pocket. Front button closure."/>
    <n v="59.9"/>
    <s v="USD"/>
    <x v="130"/>
    <x v="0"/>
    <x v="0"/>
    <s v="PLAID OVERSHIRT"/>
    <x v="2"/>
    <x v="1"/>
  </r>
  <r>
    <n v="177131"/>
    <x v="1"/>
    <x v="0"/>
    <x v="0"/>
    <x v="0"/>
    <n v="1733"/>
    <x v="130"/>
    <s v="319502128-515-2"/>
    <x v="104"/>
    <s v="Vest made of viscose and wool blend fabric. V-neckline. Patch pockets at hip. Front zip closure."/>
    <n v="69.900000000000006"/>
    <s v="USD"/>
    <x v="131"/>
    <x v="0"/>
    <x v="0"/>
    <s v="BOUCLE TEXTURED VEST"/>
    <x v="2"/>
    <x v="1"/>
  </r>
  <r>
    <n v="129152"/>
    <x v="0"/>
    <x v="1"/>
    <x v="0"/>
    <x v="1"/>
    <n v="2356"/>
    <x v="131"/>
    <s v="320423517-800-2"/>
    <x v="56"/>
    <s v="Lightweight jacket made of technical fabric. Round neck and long sleeves. Welt pockets at hip. Interior pocket. Rib trim. Front zip closure."/>
    <n v="49.9"/>
    <s v="USD"/>
    <x v="132"/>
    <x v="0"/>
    <x v="0"/>
    <s v="LIGHTWEIGHT BOMBER JACKET"/>
    <x v="2"/>
    <x v="0"/>
  </r>
  <r>
    <n v="198248"/>
    <x v="2"/>
    <x v="0"/>
    <x v="0"/>
    <x v="1"/>
    <n v="1644"/>
    <x v="132"/>
    <s v="311309526-800-2"/>
    <x v="13"/>
    <s v="Jacket made of faux leather fabric. High collar and long sleeves. Welt pockets at hip and interior pocket. Rib trim. Front zip closure."/>
    <n v="69.900000000000006"/>
    <s v="USD"/>
    <x v="133"/>
    <x v="0"/>
    <x v="0"/>
    <s v="FAUX LEATHER BOMBER JACKET"/>
    <x v="2"/>
    <x v="1"/>
  </r>
  <r>
    <n v="141434"/>
    <x v="2"/>
    <x v="1"/>
    <x v="0"/>
    <x v="0"/>
    <n v="2870"/>
    <x v="90"/>
    <s v="311307610-400-39"/>
    <x v="24"/>
    <s v="Jacket with lightly padded interior. Rib collar and long sleeves. Flap pockets at waist. Rib trim. Front asymmetric zip closure."/>
    <n v="39.9"/>
    <s v="USD"/>
    <x v="134"/>
    <x v="0"/>
    <x v="0"/>
    <s v="FAUX LEATHER PUFFER JACKET"/>
    <x v="2"/>
    <x v="0"/>
  </r>
  <r>
    <n v="188909"/>
    <x v="1"/>
    <x v="0"/>
    <x v="0"/>
    <x v="0"/>
    <n v="2863"/>
    <x v="133"/>
    <s v="336449731-712-1"/>
    <x v="105"/>
    <s v="Woven V-neckline long sleeve sweater. Asymmetric hem."/>
    <n v="39.9"/>
    <s v="USD"/>
    <x v="135"/>
    <x v="1"/>
    <x v="1"/>
    <s v="ASYMMETRIC CROPPED KNIT SWEATER"/>
    <x v="2"/>
    <x v="0"/>
  </r>
  <r>
    <n v="199631"/>
    <x v="2"/>
    <x v="0"/>
    <x v="0"/>
    <x v="1"/>
    <n v="1269"/>
    <x v="134"/>
    <s v="327747299-800-2"/>
    <x v="106"/>
    <s v="Regular fit overshirt made of 22% wool fabric. Lapel collar and long sleeves with buttoned cuffs. Patch pocket at chest and side pockets at hip. Side vents at hem. Front button closure."/>
    <n v="89.9"/>
    <s v="USD"/>
    <x v="136"/>
    <x v="0"/>
    <x v="0"/>
    <s v="STRUCTURED TWILL OVERSHIRT"/>
    <x v="2"/>
    <x v="2"/>
  </r>
  <r>
    <n v="135521"/>
    <x v="0"/>
    <x v="1"/>
    <x v="0"/>
    <x v="0"/>
    <n v="2835"/>
    <x v="19"/>
    <s v="322677494-446-1"/>
    <x v="107"/>
    <s v="Cropped fine knit sweater with round neck and long sleeves."/>
    <n v="39.9"/>
    <s v="USD"/>
    <x v="137"/>
    <x v="1"/>
    <x v="1"/>
    <s v="FINE KNIT CROP SWEATER"/>
    <x v="2"/>
    <x v="0"/>
  </r>
  <r>
    <n v="147947"/>
    <x v="1"/>
    <x v="0"/>
    <x v="0"/>
    <x v="0"/>
    <n v="1249"/>
    <x v="135"/>
    <s v="311297724-700-97"/>
    <x v="108"/>
    <s v="Jacket made of faux shearling fabric. V-neckline and long sleeves with elastic cuffs. Lined interior with structured mesh fabric. Welt pockets at hip. Adjustable hem with side elastics. Front snap button closure."/>
    <n v="89.9"/>
    <s v="USD"/>
    <x v="138"/>
    <x v="0"/>
    <x v="0"/>
    <s v="FAUX SHEARLING PLAID JACKET"/>
    <x v="2"/>
    <x v="2"/>
  </r>
  <r>
    <n v="189349"/>
    <x v="0"/>
    <x v="0"/>
    <x v="0"/>
    <x v="1"/>
    <n v="1245"/>
    <x v="136"/>
    <s v="317107014-707-2"/>
    <x v="109"/>
    <s v="Relaxed fit overshirt. Lapel collar and long sleeves with buttoned cuffs. Side hidden in-seam pockets. Front button closure."/>
    <n v="89.9"/>
    <s v="USD"/>
    <x v="139"/>
    <x v="0"/>
    <x v="0"/>
    <s v="TEXTURED WEAVE OVERSHIRT"/>
    <x v="2"/>
    <x v="2"/>
  </r>
  <r>
    <n v="197524"/>
    <x v="1"/>
    <x v="0"/>
    <x v="0"/>
    <x v="0"/>
    <n v="2231"/>
    <x v="137"/>
    <s v="330590505-500-2"/>
    <x v="90"/>
    <s v="Relaxed fit overshirt. Lapel collar and long sleeves with buttoned cuffs. Chest patch pocket. Front button closure."/>
    <n v="49.9"/>
    <s v="USD"/>
    <x v="140"/>
    <x v="0"/>
    <x v="0"/>
    <s v="PLAID OVERSHIRT"/>
    <x v="2"/>
    <x v="0"/>
  </r>
  <r>
    <n v="137121"/>
    <x v="1"/>
    <x v="1"/>
    <x v="0"/>
    <x v="0"/>
    <n v="656"/>
    <x v="138"/>
    <s v="312372602-800-2"/>
    <x v="47"/>
    <s v="Puffer jacket made of shiny finish technical fabric. Fill is a blend of 80% down and 20% feathers. High collar with adjustable hood and long sleeves with elastic cuffs. Welt pockets at hip and interior pocket. Adjustable hem with side elastics. Front zip closure."/>
    <n v="169"/>
    <s v="USD"/>
    <x v="141"/>
    <x v="0"/>
    <x v="0"/>
    <s v="100% FEATHER FILL PUFFER JACKET"/>
    <x v="1"/>
    <x v="2"/>
  </r>
  <r>
    <n v="167640"/>
    <x v="0"/>
    <x v="0"/>
    <x v="0"/>
    <x v="0"/>
    <n v="1017"/>
    <x v="139"/>
    <s v="311287132-251-2"/>
    <x v="110"/>
    <s v="Jacket made of technical fabric. High collar with adjustable drawstring hood. Long sleeves with rib cuffs. Chest welt pocket and hip patch pockets. Interior pocket. Adjustable hem with elastics at sides. Front zip hidden by a snap button flap."/>
    <n v="109"/>
    <s v="USD"/>
    <x v="142"/>
    <x v="0"/>
    <x v="0"/>
    <s v="HOODED TECHNICAL JACKET"/>
    <x v="2"/>
    <x v="2"/>
  </r>
  <r>
    <n v="188771"/>
    <x v="1"/>
    <x v="1"/>
    <x v="0"/>
    <x v="1"/>
    <n v="654"/>
    <x v="140"/>
    <s v="324052738-800-46"/>
    <x v="111"/>
    <s v="Straight fit blazer. Pointed lapel collar and long sleeves with buttoned cuffs. Welt pockets at hip and interior pocket. Central back vent at hem. Front button closure."/>
    <n v="169"/>
    <s v="USD"/>
    <x v="143"/>
    <x v="0"/>
    <x v="0"/>
    <s v="TUXEDO JACKET"/>
    <x v="1"/>
    <x v="2"/>
  </r>
  <r>
    <n v="145289"/>
    <x v="0"/>
    <x v="1"/>
    <x v="0"/>
    <x v="1"/>
    <n v="1012"/>
    <x v="141"/>
    <s v="311292073-709-2"/>
    <x v="112"/>
    <s v="Cropped jacket. Lapel collar and long sleeves. Front utility pockets with zip closure. Washed effect. Elastic hem. Adjustable hem with side elastics. Front zip closure."/>
    <n v="109"/>
    <s v="USD"/>
    <x v="144"/>
    <x v="0"/>
    <x v="0"/>
    <s v="UTILITY POCKET JACKET"/>
    <x v="2"/>
    <x v="2"/>
  </r>
  <r>
    <n v="126146"/>
    <x v="1"/>
    <x v="1"/>
    <x v="0"/>
    <x v="1"/>
    <n v="2759"/>
    <x v="142"/>
    <s v="320326523-707-2"/>
    <x v="113"/>
    <s v="Cropped fit T-shirt with round neck and short sleeves. Contrasting front and back prints. Washed effect."/>
    <n v="39.9"/>
    <s v="USD"/>
    <x v="145"/>
    <x v="2"/>
    <x v="0"/>
    <s v="CROPPED WASHED T-SHIRT"/>
    <x v="2"/>
    <x v="0"/>
  </r>
  <r>
    <n v="162883"/>
    <x v="2"/>
    <x v="0"/>
    <x v="0"/>
    <x v="1"/>
    <n v="786"/>
    <x v="143"/>
    <s v="311307584-518-2"/>
    <x v="41"/>
    <s v="Jacket made of technical fabric with padded interior. High collar with foldable interior hood. Long sleeves with interior rib cuffs. Front pockets with hidden zip closure and interior pocket detail. Adjustable hem with side elastics. Front zip hidden by a snap button flap."/>
    <n v="139"/>
    <s v="USD"/>
    <x v="146"/>
    <x v="0"/>
    <x v="0"/>
    <s v="TECHNICAL PADDED JACKET"/>
    <x v="2"/>
    <x v="2"/>
  </r>
  <r>
    <n v="198283"/>
    <x v="0"/>
    <x v="0"/>
    <x v="0"/>
    <x v="0"/>
    <n v="1558"/>
    <x v="144"/>
    <s v="315836999-406-34"/>
    <x v="114"/>
    <s v="Baggy fit jeans. Five pockets. Washed effect. Front zip and button closure."/>
    <n v="69.900000000000006"/>
    <s v="USD"/>
    <x v="147"/>
    <x v="4"/>
    <x v="0"/>
    <s v="BAGGY FIT JEANS"/>
    <x v="2"/>
    <x v="1"/>
  </r>
  <r>
    <n v="175059"/>
    <x v="1"/>
    <x v="0"/>
    <x v="0"/>
    <x v="1"/>
    <n v="2170"/>
    <x v="145"/>
    <s v="311292572-401-2"/>
    <x v="56"/>
    <s v="Lightweight jacket made of technical fabric. Round neck and long sleeves. Welt pockets at hip. Interior pocket. Rib trim. Front zip closure."/>
    <n v="49.9"/>
    <s v="USD"/>
    <x v="148"/>
    <x v="0"/>
    <x v="0"/>
    <s v="LIGHTWEIGHT BOMBER JACKET"/>
    <x v="2"/>
    <x v="0"/>
  </r>
  <r>
    <n v="126979"/>
    <x v="2"/>
    <x v="1"/>
    <x v="0"/>
    <x v="1"/>
    <n v="2141"/>
    <x v="24"/>
    <s v="311297787-806-1"/>
    <x v="115"/>
    <s v="Round neck long sleeve sweater. Contrasting piping detail. Rib trim."/>
    <n v="49.9"/>
    <s v="USD"/>
    <x v="149"/>
    <x v="1"/>
    <x v="1"/>
    <s v="KNIT SWEATER WITH PIPING"/>
    <x v="2"/>
    <x v="1"/>
  </r>
  <r>
    <n v="168270"/>
    <x v="0"/>
    <x v="0"/>
    <x v="0"/>
    <x v="0"/>
    <n v="1525"/>
    <x v="146"/>
    <s v="311292281-203-39"/>
    <x v="116"/>
    <s v="Running shoes. Upper in a combination of pieces and finishes. Lacing with six pairs of eyelets. Chunky soles with irregular design. Lug soles. Trek style."/>
    <n v="69.900000000000006"/>
    <s v="USD"/>
    <x v="150"/>
    <x v="3"/>
    <x v="0"/>
    <s v="MULTIPIECE SNEAKERS"/>
    <x v="2"/>
    <x v="1"/>
  </r>
  <r>
    <n v="172816"/>
    <x v="1"/>
    <x v="1"/>
    <x v="0"/>
    <x v="0"/>
    <n v="1524"/>
    <x v="147"/>
    <s v="311307250-710-3"/>
    <x v="117"/>
    <s v="Sweater made of 30% wool thread. Round neck and long sleeves. Rib trim."/>
    <n v="69.900000000000006"/>
    <s v="USD"/>
    <x v="151"/>
    <x v="1"/>
    <x v="0"/>
    <s v="TEXTURED SWEATER"/>
    <x v="2"/>
    <x v="1"/>
  </r>
  <r>
    <n v="194410"/>
    <x v="0"/>
    <x v="1"/>
    <x v="0"/>
    <x v="1"/>
    <n v="669"/>
    <x v="148"/>
    <s v="322972473-052-46"/>
    <x v="10"/>
    <s v="Straight fit blazer made of linen. Notched lapel collar and long sleeves with buttoned cuffs. Flap pockets at hip. Interior pocket. Back vents. Front button closure."/>
    <n v="159"/>
    <s v="USD"/>
    <x v="152"/>
    <x v="0"/>
    <x v="0"/>
    <s v="SUIT JACKET IN 100% LINEN"/>
    <x v="1"/>
    <x v="2"/>
  </r>
  <r>
    <n v="146804"/>
    <x v="1"/>
    <x v="0"/>
    <x v="0"/>
    <x v="1"/>
    <n v="1504"/>
    <x v="149"/>
    <s v="311307495-131-39"/>
    <x v="72"/>
    <s v="Sneakers. Made of leather with a suede finish. Contrast lacing with seven pairs of eyelets. Welt around upper. Chunky sole."/>
    <n v="69.900000000000006"/>
    <s v="USD"/>
    <x v="153"/>
    <x v="3"/>
    <x v="0"/>
    <s v="SUEDE SNEAKERS"/>
    <x v="2"/>
    <x v="1"/>
  </r>
  <r>
    <n v="127296"/>
    <x v="1"/>
    <x v="1"/>
    <x v="0"/>
    <x v="1"/>
    <n v="1165"/>
    <x v="150"/>
    <s v="320220949-507-2"/>
    <x v="118"/>
    <s v="Jacket made of dense cotton fabric cut on the bias. Lapel collar and long sleeves with buttoned cuffs. Welt pockets at hip and interior pocket. Cropped length. Front zip closure."/>
    <n v="89.9"/>
    <s v="USD"/>
    <x v="154"/>
    <x v="0"/>
    <x v="0"/>
    <s v="CROPPED TEXTURED JACKET"/>
    <x v="2"/>
    <x v="2"/>
  </r>
  <r>
    <n v="181502"/>
    <x v="2"/>
    <x v="0"/>
    <x v="0"/>
    <x v="1"/>
    <n v="2591"/>
    <x v="69"/>
    <s v="323175653-803-2"/>
    <x v="119"/>
    <s v="Sweater made of soft touch fabric. Round neckline with jewel appliquÃ©s and long sleeves."/>
    <n v="39.9"/>
    <s v="USD"/>
    <x v="155"/>
    <x v="1"/>
    <x v="1"/>
    <s v="SOFT JEWEL SWEATER"/>
    <x v="2"/>
    <x v="0"/>
  </r>
  <r>
    <n v="196752"/>
    <x v="0"/>
    <x v="1"/>
    <x v="0"/>
    <x v="1"/>
    <n v="2227"/>
    <x v="151"/>
    <s v="319334070-401-2"/>
    <x v="120"/>
    <s v="Full cut T-shirt made of mesh textured fabric. Contrast rib V-neckline and short sleeves. Front contrast printed text."/>
    <n v="45.9"/>
    <s v="USD"/>
    <x v="156"/>
    <x v="2"/>
    <x v="0"/>
    <s v="STRUCTURED TEXT T-SHIRT"/>
    <x v="2"/>
    <x v="0"/>
  </r>
  <r>
    <n v="167981"/>
    <x v="0"/>
    <x v="1"/>
    <x v="0"/>
    <x v="1"/>
    <n v="730"/>
    <x v="152"/>
    <s v="329706743-401-46"/>
    <x v="121"/>
    <s v="Straight fit blazer. Notched lapel collar and long sleeves with buttoned cuffs. Welt pocket at chest and flap pockets at hip. Interior pocket. Back vents. Front button closure."/>
    <n v="139"/>
    <s v="USD"/>
    <x v="157"/>
    <x v="0"/>
    <x v="0"/>
    <s v="HOUNDSTOOTH SUIT JACKET"/>
    <x v="2"/>
    <x v="2"/>
  </r>
  <r>
    <n v="174041"/>
    <x v="0"/>
    <x v="1"/>
    <x v="0"/>
    <x v="1"/>
    <n v="2016"/>
    <x v="153"/>
    <s v="311307489-203-39"/>
    <x v="116"/>
    <s v="Sneakers. Upper in a combination of pieces and colors. Lacing with seven pairs of eyelets. Chunky sole with a combination of colors. Retro-inspired design."/>
    <n v="49.9"/>
    <s v="USD"/>
    <x v="158"/>
    <x v="3"/>
    <x v="0"/>
    <s v="MULTIPIECE SNEAKERS"/>
    <x v="2"/>
    <x v="1"/>
  </r>
  <r>
    <n v="134788"/>
    <x v="2"/>
    <x v="1"/>
    <x v="0"/>
    <x v="1"/>
    <n v="2179"/>
    <x v="154"/>
    <s v="324722597-400-2"/>
    <x v="122"/>
    <s v="V-neck sweater with long sleeves."/>
    <n v="45.9"/>
    <s v="USD"/>
    <x v="159"/>
    <x v="1"/>
    <x v="1"/>
    <s v="FINE KNIT SWEATER"/>
    <x v="2"/>
    <x v="0"/>
  </r>
  <r>
    <n v="141547"/>
    <x v="0"/>
    <x v="1"/>
    <x v="0"/>
    <x v="1"/>
    <n v="1426"/>
    <x v="155"/>
    <s v="315738965-802-34"/>
    <x v="114"/>
    <s v="Baggy fit jeans. Five pockets. Washed effect. Front zip and button closure."/>
    <n v="69.900000000000006"/>
    <s v="USD"/>
    <x v="160"/>
    <x v="4"/>
    <x v="0"/>
    <s v="BAGGY FIT JEANS"/>
    <x v="2"/>
    <x v="1"/>
  </r>
  <r>
    <n v="155848"/>
    <x v="0"/>
    <x v="0"/>
    <x v="0"/>
    <x v="1"/>
    <n v="1942"/>
    <x v="156"/>
    <s v="324597432-800-2"/>
    <x v="123"/>
    <s v="Wool and silk blend top. High collar and long sleeves."/>
    <n v="49.9"/>
    <s v="USD"/>
    <x v="161"/>
    <x v="1"/>
    <x v="1"/>
    <s v="MOCK NECK WOOL AND SILK BLEND KNIT TOP"/>
    <x v="2"/>
    <x v="1"/>
  </r>
  <r>
    <n v="118985"/>
    <x v="1"/>
    <x v="1"/>
    <x v="0"/>
    <x v="0"/>
    <n v="694"/>
    <x v="157"/>
    <s v="281593208-015-2"/>
    <x v="23"/>
    <s v="Vest made of viscose and wool blend fabric. V-neckline. Patch pockets at hip. Front zip closure."/>
    <n v="139"/>
    <s v="USD"/>
    <x v="162"/>
    <x v="2"/>
    <x v="0"/>
    <s v="PATCH BOMBER JACKET"/>
    <x v="2"/>
    <x v="2"/>
  </r>
  <r>
    <n v="125398"/>
    <x v="1"/>
    <x v="0"/>
    <x v="0"/>
    <x v="0"/>
    <n v="1350"/>
    <x v="158"/>
    <s v="311307610-400-39"/>
    <x v="124"/>
    <s v="Slip on sneakers. Made of leather with a suede finish. Upper in a combination of pieces. Chunky sole."/>
    <n v="69.900000000000006"/>
    <s v="USD"/>
    <x v="163"/>
    <x v="3"/>
    <x v="0"/>
    <s v="SUEDE LACELESS SNEAKERS"/>
    <x v="2"/>
    <x v="1"/>
  </r>
  <r>
    <n v="152985"/>
    <x v="1"/>
    <x v="0"/>
    <x v="0"/>
    <x v="0"/>
    <n v="1049"/>
    <x v="159"/>
    <s v="319162032-064-2"/>
    <x v="90"/>
    <s v="Relaxed fit overshirt. Lapel collar and long sleeves with buttoned cuffs. Chest patch pockets. Front button closure."/>
    <n v="89.9"/>
    <s v="USD"/>
    <x v="164"/>
    <x v="0"/>
    <x v="0"/>
    <s v="PLAID OVERSHIRT"/>
    <x v="2"/>
    <x v="2"/>
  </r>
  <r>
    <n v="135857"/>
    <x v="1"/>
    <x v="1"/>
    <x v="0"/>
    <x v="0"/>
    <n v="2045"/>
    <x v="160"/>
    <s v="311297550-251-2"/>
    <x v="125"/>
    <s v="Knit shirt in viscose blend fabric. Mock neck and short sleeves. Rib trim."/>
    <n v="45.9"/>
    <s v="USD"/>
    <x v="165"/>
    <x v="2"/>
    <x v="0"/>
    <s v="VISCOSE BLEND KNIT T-SHIRT"/>
    <x v="2"/>
    <x v="1"/>
  </r>
  <r>
    <n v="147491"/>
    <x v="0"/>
    <x v="1"/>
    <x v="0"/>
    <x v="1"/>
    <n v="1563"/>
    <x v="161"/>
    <s v="326540983-802-36"/>
    <x v="126"/>
    <s v="Baggy jeans. Self belt at waist. Front pockets and back patch pockets. Washed effect. Front button closure."/>
    <n v="59.9"/>
    <s v="USD"/>
    <x v="166"/>
    <x v="4"/>
    <x v="0"/>
    <s v="BAGGY BELTED JEANS"/>
    <x v="2"/>
    <x v="1"/>
  </r>
  <r>
    <n v="167599"/>
    <x v="1"/>
    <x v="1"/>
    <x v="0"/>
    <x v="1"/>
    <n v="1500"/>
    <x v="162"/>
    <s v="311292644-400-39"/>
    <x v="127"/>
    <s v="Sneakers. Made of leather. Combination of finishes and materials at upper. Lacing with seven pairs of eyelets. Chunky sole in a combination of colors. Retro-inspired design."/>
    <n v="59.9"/>
    <s v="USD"/>
    <x v="167"/>
    <x v="3"/>
    <x v="0"/>
    <s v="SUEDE RETRO SNEAKERS"/>
    <x v="2"/>
    <x v="1"/>
  </r>
  <r>
    <n v="181011"/>
    <x v="1"/>
    <x v="0"/>
    <x v="0"/>
    <x v="0"/>
    <n v="994"/>
    <x v="121"/>
    <s v="322612356-505-2"/>
    <x v="17"/>
    <s v="RETRO SNEAKERS"/>
    <n v="89.9"/>
    <s v="USD"/>
    <x v="168"/>
    <x v="3"/>
    <x v="0"/>
    <s v="HERRINGBONE TEXTURED JACKET"/>
    <x v="2"/>
    <x v="2"/>
  </r>
  <r>
    <n v="137990"/>
    <x v="1"/>
    <x v="1"/>
    <x v="0"/>
    <x v="1"/>
    <n v="2929"/>
    <x v="163"/>
    <s v="276213846-500-2"/>
    <x v="128"/>
    <s v="Lapel collar jacket with long sleeves with elastic cuffs. Patch pockets at hip. Elastic hem. Front snap button closure."/>
    <n v="29.99"/>
    <s v="USD"/>
    <x v="169"/>
    <x v="0"/>
    <x v="0"/>
    <s v="COTTON JACKET"/>
    <x v="2"/>
    <x v="0"/>
  </r>
  <r>
    <n v="134104"/>
    <x v="0"/>
    <x v="1"/>
    <x v="0"/>
    <x v="0"/>
    <n v="1466"/>
    <x v="164"/>
    <s v="313027279-800-2"/>
    <x v="129"/>
    <s v="Relaxed fit overshirt made of stretch fabric. Lapel collar and long sleeves with buttoned cuffs. Chest patch pocket. Front button closure."/>
    <n v="59.9"/>
    <s v="USD"/>
    <x v="170"/>
    <x v="0"/>
    <x v="0"/>
    <s v="OVERSHIRT"/>
    <x v="2"/>
    <x v="1"/>
  </r>
  <r>
    <n v="150953"/>
    <x v="2"/>
    <x v="0"/>
    <x v="0"/>
    <x v="0"/>
    <n v="2434"/>
    <x v="66"/>
    <s v="317331009-312-2"/>
    <x v="130"/>
    <s v="Round neck long sleeve sweater. Rib trim."/>
    <n v="35.9"/>
    <s v="USD"/>
    <x v="171"/>
    <x v="1"/>
    <x v="1"/>
    <s v="BASIC FOIL KNIT SWEATER"/>
    <x v="2"/>
    <x v="0"/>
  </r>
  <r>
    <n v="191230"/>
    <x v="0"/>
    <x v="1"/>
    <x v="0"/>
    <x v="1"/>
    <n v="966"/>
    <x v="165"/>
    <s v="311287528-811-2"/>
    <x v="23"/>
    <s v="Varsity jacket made of faux suede fabric. Double welt pockets at hip and interior pocket. Front and back contrasting patch appliquÃ©s and embroidery. Rib trim. Front snap button closure."/>
    <n v="89.9"/>
    <s v="USD"/>
    <x v="172"/>
    <x v="0"/>
    <x v="0"/>
    <s v="PATCH BOMBER JACKET"/>
    <x v="2"/>
    <x v="2"/>
  </r>
  <r>
    <n v="173550"/>
    <x v="0"/>
    <x v="1"/>
    <x v="0"/>
    <x v="0"/>
    <n v="1431"/>
    <x v="166"/>
    <s v="323646471-802-2"/>
    <x v="27"/>
    <s v="Overshirt with lapel collar and long sleeves with buttoned cuffs. Chest patch pocket. Front button closure."/>
    <n v="59.9"/>
    <s v="USD"/>
    <x v="173"/>
    <x v="0"/>
    <x v="0"/>
    <s v="POCKET OVERSHIRT"/>
    <x v="2"/>
    <x v="1"/>
  </r>
  <r>
    <n v="149510"/>
    <x v="1"/>
    <x v="1"/>
    <x v="0"/>
    <x v="0"/>
    <n v="1412"/>
    <x v="167"/>
    <s v="319205114-807-2"/>
    <x v="131"/>
    <s v="Lapel collar jacket with long sleeves. Front pouch pockets. Front zip closure."/>
    <n v="59.9"/>
    <s v="USD"/>
    <x v="174"/>
    <x v="0"/>
    <x v="0"/>
    <s v="ZIPPERED JACKET"/>
    <x v="2"/>
    <x v="1"/>
  </r>
  <r>
    <n v="183574"/>
    <x v="1"/>
    <x v="0"/>
    <x v="0"/>
    <x v="0"/>
    <n v="1752"/>
    <x v="12"/>
    <s v="331789902-808-1"/>
    <x v="132"/>
    <s v="Ribbed sweater with round neck and long sleeves. Ripped hem."/>
    <n v="47.9"/>
    <s v="USD"/>
    <x v="175"/>
    <x v="1"/>
    <x v="1"/>
    <s v="FOIL KNIT CROP SWEATER"/>
    <x v="2"/>
    <x v="1"/>
  </r>
  <r>
    <n v="118578"/>
    <x v="0"/>
    <x v="1"/>
    <x v="0"/>
    <x v="0"/>
    <n v="1678"/>
    <x v="168"/>
    <s v="311302865-804-39"/>
    <x v="133"/>
    <s v="Sandals. Made of leather with a suede finish. Two crossed wide straps at instep. Thick lightweight soles."/>
    <n v="49.9"/>
    <s v="USD"/>
    <x v="176"/>
    <x v="3"/>
    <x v="0"/>
    <s v="SUEDE STRAP SANDALS"/>
    <x v="2"/>
    <x v="1"/>
  </r>
  <r>
    <n v="130321"/>
    <x v="0"/>
    <x v="0"/>
    <x v="0"/>
    <x v="1"/>
    <n v="2093"/>
    <x v="169"/>
    <s v="320071210-802-2"/>
    <x v="134"/>
    <s v="Cotton knit T-shirt. Round neck and short sleeves."/>
    <n v="39.9"/>
    <s v="USD"/>
    <x v="177"/>
    <x v="2"/>
    <x v="0"/>
    <s v="ABSTRACT PRINT KNIT T-SHIRT"/>
    <x v="2"/>
    <x v="1"/>
  </r>
  <r>
    <n v="147449"/>
    <x v="0"/>
    <x v="1"/>
    <x v="0"/>
    <x v="1"/>
    <n v="1191"/>
    <x v="170"/>
    <s v="316608794-802-39"/>
    <x v="135"/>
    <s v="Running shoes. Made of suede leather. Upper in a combination of materials and colors. Lacing with six pairs of eyelets. Chunky soles with irregular design."/>
    <n v="69.900000000000006"/>
    <s v="USD"/>
    <x v="178"/>
    <x v="3"/>
    <x v="0"/>
    <s v="SUEDE RUNNING SNEAKERS"/>
    <x v="2"/>
    <x v="2"/>
  </r>
  <r>
    <n v="117065"/>
    <x v="1"/>
    <x v="0"/>
    <x v="0"/>
    <x v="0"/>
    <n v="758"/>
    <x v="171"/>
    <s v="328616906-712-2"/>
    <x v="136"/>
    <s v="Jacket made of cotton and linen blend fabric. Lapel collar and long sleeves with buttoned cuffs. Patch pocket at chest and side pockets at hip. Elastic hem. Front zip closure."/>
    <n v="109"/>
    <s v="USD"/>
    <x v="179"/>
    <x v="0"/>
    <x v="0"/>
    <s v="COTTON - LINEN BLEND JACKET"/>
    <x v="2"/>
    <x v="2"/>
  </r>
  <r>
    <n v="140727"/>
    <x v="0"/>
    <x v="0"/>
    <x v="0"/>
    <x v="0"/>
    <n v="1002"/>
    <x v="172"/>
    <s v="312372582-526-2"/>
    <x v="38"/>
    <s v="Jacket with lightly padded interior. Contrasting lapel collar. Long sleeves with buttoned cuffs. Washed effect. Double welt pockets at chest and hip. Front zip closure."/>
    <n v="79.900000000000006"/>
    <s v="USD"/>
    <x v="180"/>
    <x v="0"/>
    <x v="0"/>
    <s v="CONTRASTING COLLAR JACKET"/>
    <x v="2"/>
    <x v="2"/>
  </r>
  <r>
    <n v="151438"/>
    <x v="1"/>
    <x v="1"/>
    <x v="0"/>
    <x v="0"/>
    <n v="1137"/>
    <x v="173"/>
    <s v="316727555-700-2"/>
    <x v="90"/>
    <s v="Regular fit overshirt. Lapel collar and long sleeves with buttoned cuffs. Front zip closure."/>
    <n v="69.900000000000006"/>
    <s v="USD"/>
    <x v="181"/>
    <x v="0"/>
    <x v="0"/>
    <s v="PLAID OVERSHIRT"/>
    <x v="2"/>
    <x v="2"/>
  </r>
  <r>
    <n v="122809"/>
    <x v="0"/>
    <x v="1"/>
    <x v="0"/>
    <x v="0"/>
    <n v="1592"/>
    <x v="43"/>
    <s v="344575855-982-2"/>
    <x v="137"/>
    <s v="Sweater made with 31% wool. Round neck and long sleeves. Rib trim."/>
    <n v="49.9"/>
    <s v="USD"/>
    <x v="182"/>
    <x v="1"/>
    <x v="1"/>
    <s v="WOOL BLEND KNIT SWEATER"/>
    <x v="2"/>
    <x v="1"/>
  </r>
  <r>
    <n v="166345"/>
    <x v="1"/>
    <x v="1"/>
    <x v="0"/>
    <x v="0"/>
    <n v="1135"/>
    <x v="174"/>
    <s v="322929313-802-97"/>
    <x v="138"/>
    <s v="Cotton knit jacket. Hooded collar and long sleeves. Rib trim. Front pouch pockets. Rib trim. Front zip closure."/>
    <n v="69.900000000000006"/>
    <s v="USD"/>
    <x v="183"/>
    <x v="0"/>
    <x v="0"/>
    <s v="HOODED KNIT CARDIGAN"/>
    <x v="2"/>
    <x v="2"/>
  </r>
  <r>
    <n v="182099"/>
    <x v="1"/>
    <x v="0"/>
    <x v="0"/>
    <x v="1"/>
    <n v="1978"/>
    <x v="175"/>
    <s v="330478123-712-2"/>
    <x v="139"/>
    <s v="Oversized T-shirt. Round neck and short sleeves."/>
    <n v="39.9"/>
    <s v="USD"/>
    <x v="184"/>
    <x v="2"/>
    <x v="0"/>
    <s v="OVERSIZE FIT T-SHIRT"/>
    <x v="2"/>
    <x v="1"/>
  </r>
  <r>
    <n v="149315"/>
    <x v="0"/>
    <x v="0"/>
    <x v="0"/>
    <x v="1"/>
    <n v="718"/>
    <x v="176"/>
    <s v="311292541-802-2"/>
    <x v="140"/>
    <s v="Jacket made of faux shearling fabric. Rib elastic collar and long sleeves. Welt pockets at hip and interior pocket. Rib trim. Front zip closure."/>
    <n v="109"/>
    <s v="USD"/>
    <x v="185"/>
    <x v="0"/>
    <x v="0"/>
    <s v="FLEECE BOMBER JACKET"/>
    <x v="2"/>
    <x v="2"/>
  </r>
  <r>
    <n v="186638"/>
    <x v="0"/>
    <x v="0"/>
    <x v="0"/>
    <x v="1"/>
    <n v="1296"/>
    <x v="177"/>
    <s v="311302598-500-39"/>
    <x v="141"/>
    <s v="Running shoes. Upper in a combination of pieces and materials. Lacing with seven pairs of eyelets. Chunky lug soles. Retro-inspired design."/>
    <n v="59.9"/>
    <s v="USD"/>
    <x v="186"/>
    <x v="3"/>
    <x v="0"/>
    <s v="RETRO RUNNING SNEAKERS"/>
    <x v="2"/>
    <x v="2"/>
  </r>
  <r>
    <n v="183634"/>
    <x v="2"/>
    <x v="0"/>
    <x v="0"/>
    <x v="0"/>
    <n v="2778"/>
    <x v="157"/>
    <s v="324593343-043-2"/>
    <x v="142"/>
    <s v="Long sleeve round neck sweater. Side vents at hem. Rib trim."/>
    <n v="27.9"/>
    <s v="USD"/>
    <x v="187"/>
    <x v="1"/>
    <x v="1"/>
    <s v="BASIC KNIT SWEATER"/>
    <x v="2"/>
    <x v="0"/>
  </r>
  <r>
    <n v="171860"/>
    <x v="1"/>
    <x v="0"/>
    <x v="0"/>
    <x v="1"/>
    <n v="707"/>
    <x v="120"/>
    <s v="323646471-802-2"/>
    <x v="78"/>
    <s v="Slightly cropped denim jacket. Lapel collar and long sleeves with buttoned cuffs. Flap patch pocket at chest and side hip. Washed effect. Front button closure."/>
    <n v="109"/>
    <s v="USD"/>
    <x v="188"/>
    <x v="2"/>
    <x v="0"/>
    <s v="PADDED DENIM JACKET"/>
    <x v="2"/>
    <x v="2"/>
  </r>
  <r>
    <n v="118719"/>
    <x v="0"/>
    <x v="1"/>
    <x v="0"/>
    <x v="0"/>
    <n v="1669"/>
    <x v="15"/>
    <s v="320052978-401-2"/>
    <x v="143"/>
    <s v="Short sweater with round neck and long sleeves."/>
    <n v="45.9"/>
    <s v="USD"/>
    <x v="189"/>
    <x v="1"/>
    <x v="1"/>
    <s v="COLORBLOCK KNIT CROP SWEATER"/>
    <x v="2"/>
    <x v="1"/>
  </r>
  <r>
    <n v="165786"/>
    <x v="0"/>
    <x v="1"/>
    <x v="0"/>
    <x v="0"/>
    <n v="1278"/>
    <x v="178"/>
    <s v="315075917-803-2"/>
    <x v="144"/>
    <s v="Cotton blend sweater. Round neck and long sleeves. Contrast interior. Rib trim."/>
    <n v="59.9"/>
    <s v="USD"/>
    <x v="190"/>
    <x v="1"/>
    <x v="0"/>
    <s v="CONTRAST INTERIOR SWEATER"/>
    <x v="2"/>
    <x v="2"/>
  </r>
  <r>
    <n v="139789"/>
    <x v="1"/>
    <x v="1"/>
    <x v="0"/>
    <x v="0"/>
    <n v="1094"/>
    <x v="179"/>
    <s v="316900618-809-2"/>
    <x v="145"/>
    <s v="Sweater made with 80% wool and 20% cashmere. Round neck and long sleeves."/>
    <n v="69.900000000000006"/>
    <s v="USD"/>
    <x v="191"/>
    <x v="1"/>
    <x v="1"/>
    <s v="WOOL AND CASHMERE BLEND RIB SWEATER"/>
    <x v="2"/>
    <x v="2"/>
  </r>
  <r>
    <n v="141330"/>
    <x v="1"/>
    <x v="1"/>
    <x v="0"/>
    <x v="0"/>
    <n v="1915"/>
    <x v="180"/>
    <s v="323216369-922-2"/>
    <x v="146"/>
    <s v="Full cut T-shirt with round neck and short sleeves. Front tonal raised text. Washed effect."/>
    <n v="39.9"/>
    <s v="USD"/>
    <x v="192"/>
    <x v="2"/>
    <x v="0"/>
    <s v="RAISED TEXT T-SHIRT LIMITED EDITION"/>
    <x v="2"/>
    <x v="1"/>
  </r>
  <r>
    <n v="182779"/>
    <x v="0"/>
    <x v="0"/>
    <x v="0"/>
    <x v="0"/>
    <n v="2097"/>
    <x v="86"/>
    <s v="324814227-400-2"/>
    <x v="147"/>
    <s v="Round neck short sleeve sweater. Soft feel faux fur fabric. Jewel appliquÃ©s."/>
    <n v="35.9"/>
    <s v="USD"/>
    <x v="193"/>
    <x v="1"/>
    <x v="1"/>
    <s v="FAUX FUR JEWEL SWEATER"/>
    <x v="2"/>
    <x v="1"/>
  </r>
  <r>
    <n v="129898"/>
    <x v="0"/>
    <x v="1"/>
    <x v="0"/>
    <x v="1"/>
    <n v="1866"/>
    <x v="181"/>
    <s v="322677489-800-2"/>
    <x v="148"/>
    <s v="Boxy fit T-shirt with round neck and short sleeves. Contrasting prints at shoulder and back."/>
    <n v="39.9"/>
    <s v="USD"/>
    <x v="194"/>
    <x v="2"/>
    <x v="0"/>
    <s v="HEART PRINT T-SHIRT"/>
    <x v="2"/>
    <x v="1"/>
  </r>
  <r>
    <n v="153997"/>
    <x v="0"/>
    <x v="1"/>
    <x v="0"/>
    <x v="0"/>
    <n v="1608"/>
    <x v="182"/>
    <s v="318131967-800-2"/>
    <x v="149"/>
    <s v="Round neck long sleeve sweater. Tonal pearl appliquÃ©s and open back with tie."/>
    <n v="45.9"/>
    <s v="USD"/>
    <x v="195"/>
    <x v="1"/>
    <x v="1"/>
    <s v="KNIT PEARL SWEATER"/>
    <x v="2"/>
    <x v="1"/>
  </r>
  <r>
    <n v="135036"/>
    <x v="0"/>
    <x v="0"/>
    <x v="0"/>
    <x v="1"/>
    <n v="1435"/>
    <x v="183"/>
    <s v="314152967-485-2"/>
    <x v="150"/>
    <s v="Round neck long sleeve sweater. Metallic fabric detail and frayed trim."/>
    <n v="49.9"/>
    <s v="USD"/>
    <x v="196"/>
    <x v="1"/>
    <x v="1"/>
    <s v="CABLE KNIT METALLIC SWEATER"/>
    <x v="2"/>
    <x v="1"/>
  </r>
  <r>
    <n v="187180"/>
    <x v="2"/>
    <x v="1"/>
    <x v="0"/>
    <x v="0"/>
    <n v="647"/>
    <x v="184"/>
    <s v="312596416-800-2"/>
    <x v="110"/>
    <s v="Cropped jacket made of technical fabric. Hooded high collar and long sleeves with adjustable snap button cuffs. Front patch pockets with flaps at hips. Adjustable hem with side elastics. Front zip hidden by a snap button flap."/>
    <n v="109"/>
    <s v="USD"/>
    <x v="197"/>
    <x v="0"/>
    <x v="0"/>
    <s v="HOODED TECHNICAL JACKET"/>
    <x v="2"/>
    <x v="2"/>
  </r>
  <r>
    <n v="127644"/>
    <x v="2"/>
    <x v="1"/>
    <x v="0"/>
    <x v="0"/>
    <n v="1498"/>
    <x v="185"/>
    <s v="311287075-120-39"/>
    <x v="151"/>
    <s v="Sneakers. Pieces and topstitching at upper. Lacing with six pairs of eyelets. Contrasting slightly chunky soles."/>
    <n v="45.9"/>
    <s v="USD"/>
    <x v="198"/>
    <x v="3"/>
    <x v="0"/>
    <s v="TOPSTITCH SNEAKERS"/>
    <x v="2"/>
    <x v="1"/>
  </r>
  <r>
    <n v="198329"/>
    <x v="2"/>
    <x v="0"/>
    <x v="0"/>
    <x v="0"/>
    <n v="628"/>
    <x v="186"/>
    <s v="323212374-510-2"/>
    <x v="152"/>
    <s v="Jacket made of technical fabric with lightly padded interior. Rib high collar. Long sleeves with elastic cuffs. Patch pockets at hip. Front zip closure."/>
    <n v="109"/>
    <s v="USD"/>
    <x v="199"/>
    <x v="0"/>
    <x v="0"/>
    <s v="MIXED COLLAR JACKET"/>
    <x v="2"/>
    <x v="2"/>
  </r>
  <r>
    <n v="189118"/>
    <x v="2"/>
    <x v="0"/>
    <x v="0"/>
    <x v="0"/>
    <n v="952"/>
    <x v="187"/>
    <s v="278112470-800-2"/>
    <x v="24"/>
    <s v="Faux leather puffer jacket. High collar and long sleeves with ribbed interior cuffs. Welt pockets at hip. Interior pocket. Adjustable hem with side elastics. Front zip closure."/>
    <n v="69.989999999999995"/>
    <s v="USD"/>
    <x v="200"/>
    <x v="0"/>
    <x v="0"/>
    <s v="FAUX LEATHER PUFFER JACKET"/>
    <x v="2"/>
    <x v="2"/>
  </r>
  <r>
    <n v="154676"/>
    <x v="1"/>
    <x v="1"/>
    <x v="0"/>
    <x v="1"/>
    <n v="943"/>
    <x v="188"/>
    <s v="311292623-712-97"/>
    <x v="153"/>
    <s v="Regular fit overshirt. Lapel collar and long sleeves with buttoned cuffs. Chest patch pockets. Front button closure."/>
    <n v="69.900000000000006"/>
    <s v="USD"/>
    <x v="201"/>
    <x v="0"/>
    <x v="0"/>
    <s v="FLEECE OVERSHIRT"/>
    <x v="2"/>
    <x v="2"/>
  </r>
  <r>
    <n v="195082"/>
    <x v="2"/>
    <x v="1"/>
    <x v="0"/>
    <x v="1"/>
    <n v="923"/>
    <x v="189"/>
    <s v="311302515-800-39"/>
    <x v="154"/>
    <s v="High top sneakers. Lacing with nine pairs of eyelets. Contrasting foxing around the upper. Chunky rubberized soles."/>
    <n v="69.900000000000006"/>
    <s v="USD"/>
    <x v="202"/>
    <x v="3"/>
    <x v="0"/>
    <s v="CHUNKY SOLE HIGH TOP SNEAKERS"/>
    <x v="2"/>
    <x v="2"/>
  </r>
  <r>
    <n v="167592"/>
    <x v="2"/>
    <x v="0"/>
    <x v="0"/>
    <x v="1"/>
    <n v="707"/>
    <x v="190"/>
    <s v="312320664-251-2"/>
    <x v="155"/>
    <s v="Varsity jacket made of faux suede fabric. Lapel collar and long sleeves. Double welt pockets at hip and interior pocket. Front contrasting patch appliquÃ©s and embroidery. Rib trim. Front snap button closure."/>
    <n v="89.9"/>
    <s v="USD"/>
    <x v="203"/>
    <x v="0"/>
    <x v="0"/>
    <s v="FAUX SUEDE PATCH JACKET"/>
    <x v="2"/>
    <x v="2"/>
  </r>
  <r>
    <n v="187930"/>
    <x v="0"/>
    <x v="1"/>
    <x v="0"/>
    <x v="0"/>
    <n v="706"/>
    <x v="191"/>
    <s v="324149982-982-2"/>
    <x v="156"/>
    <s v="Oversized jacket made of technical fabric. High collar and long sleeves with pocket detail. Welt pockets at hip and interior pocket. Rib trim. Adjustable asymmetric hem with side zippers. Front zip closure."/>
    <n v="89.9"/>
    <s v="USD"/>
    <x v="204"/>
    <x v="0"/>
    <x v="0"/>
    <s v="OVERSIZED BOMBER JACKET"/>
    <x v="2"/>
    <x v="2"/>
  </r>
  <r>
    <n v="189692"/>
    <x v="0"/>
    <x v="0"/>
    <x v="0"/>
    <x v="1"/>
    <n v="1553"/>
    <x v="192"/>
    <s v="330077856-251-2"/>
    <x v="157"/>
    <s v="Boxy fit T-shirt. Round neck and short sleeves. Velvet effect print with contrast text."/>
    <n v="39.9"/>
    <s v="USD"/>
    <x v="205"/>
    <x v="2"/>
    <x v="0"/>
    <s v="TEXT T-SHIRT"/>
    <x v="2"/>
    <x v="1"/>
  </r>
  <r>
    <n v="182866"/>
    <x v="1"/>
    <x v="1"/>
    <x v="0"/>
    <x v="0"/>
    <n v="1552"/>
    <x v="193"/>
    <s v="313890656-800-2"/>
    <x v="158"/>
    <s v="Basic sweater with round neck and long sleeves. Side button details at shoulders."/>
    <n v="39.9"/>
    <s v="USD"/>
    <x v="206"/>
    <x v="1"/>
    <x v="1"/>
    <s v="KNIT SWEATER WITH BUTTONS"/>
    <x v="2"/>
    <x v="1"/>
  </r>
  <r>
    <n v="193332"/>
    <x v="1"/>
    <x v="0"/>
    <x v="0"/>
    <x v="1"/>
    <n v="1237"/>
    <x v="194"/>
    <s v="319205037-800-39"/>
    <x v="159"/>
    <s v="Sandals. Made of leather. Three woven wide straps at instep. Chunky sole."/>
    <n v="49.9"/>
    <s v="USD"/>
    <x v="207"/>
    <x v="3"/>
    <x v="0"/>
    <s v="WOVEN LEATHER SLIDES"/>
    <x v="2"/>
    <x v="2"/>
  </r>
  <r>
    <n v="123230"/>
    <x v="1"/>
    <x v="1"/>
    <x v="0"/>
    <x v="0"/>
    <n v="880"/>
    <x v="195"/>
    <s v="324027512-064-2"/>
    <x v="160"/>
    <s v="Relaxed fit overshirt. Lapel collar and long sleeves with buttoned cuffs. Patch pockets at hip. Front button closure."/>
    <n v="69.900000000000006"/>
    <s v="USD"/>
    <x v="208"/>
    <x v="0"/>
    <x v="0"/>
    <s v="STRIPED TEXTURED OVERSHIRT"/>
    <x v="2"/>
    <x v="2"/>
  </r>
  <r>
    <n v="125938"/>
    <x v="1"/>
    <x v="0"/>
    <x v="0"/>
    <x v="0"/>
    <n v="1204"/>
    <x v="75"/>
    <s v="313890680-450-2"/>
    <x v="161"/>
    <s v="Sweater made with 20% wool and 17% alpaca. Crew neck and long sleeves. Tonal rib trim."/>
    <n v="49.9"/>
    <s v="USD"/>
    <x v="209"/>
    <x v="1"/>
    <x v="1"/>
    <s v="OVERSIZED KNIT SWEATER"/>
    <x v="2"/>
    <x v="2"/>
  </r>
  <r>
    <n v="168837"/>
    <x v="1"/>
    <x v="1"/>
    <x v="0"/>
    <x v="1"/>
    <n v="665"/>
    <x v="196"/>
    <s v="311292194-731-2"/>
    <x v="82"/>
    <s v="Lapel collar jacket with long sleeves with buttoned cuffs. Flap pockets at chest and welt pockets at hip. Front button closure."/>
    <n v="89.9"/>
    <s v="USD"/>
    <x v="210"/>
    <x v="0"/>
    <x v="0"/>
    <s v="FAUX SUEDE JACKET"/>
    <x v="2"/>
    <x v="2"/>
  </r>
  <r>
    <n v="183825"/>
    <x v="1"/>
    <x v="0"/>
    <x v="0"/>
    <x v="0"/>
    <n v="2989"/>
    <x v="197"/>
    <s v="281593208-015-2"/>
    <x v="162"/>
    <s v="Regular fit overshirt made of cotton. Lapel collar and long sleeves with buttoned cuffs. Chest patch pockets. Front button closure."/>
    <n v="19.989999999999998"/>
    <s v="USD"/>
    <x v="211"/>
    <x v="0"/>
    <x v="0"/>
    <s v="PLAID TIE DYE OVERSHIRT"/>
    <x v="2"/>
    <x v="0"/>
  </r>
  <r>
    <n v="116228"/>
    <x v="0"/>
    <x v="0"/>
    <x v="0"/>
    <x v="1"/>
    <n v="647"/>
    <x v="198"/>
    <s v="312363708-800-2"/>
    <x v="163"/>
    <s v="Jacket with lightly padded interior. Lapel collar and long sleeves with buttoned cuffs. Flap pockets at chest and welt pockets at hip. Front button closure."/>
    <n v="89.9"/>
    <s v="USD"/>
    <x v="212"/>
    <x v="0"/>
    <x v="0"/>
    <s v="TEXTURED POCKET JACKET"/>
    <x v="2"/>
    <x v="2"/>
  </r>
  <r>
    <n v="185102"/>
    <x v="1"/>
    <x v="1"/>
    <x v="0"/>
    <x v="1"/>
    <n v="2823"/>
    <x v="199"/>
    <s v="272145190-250-2"/>
    <x v="164"/>
    <s v="Puffer jacket made of tear-resistant ripstop fabric. High collar and adjustable long sleeves with adhesive straps. Welt pockets at hip. Adjustable hem with side elastics. Front zip closure."/>
    <n v="19.989999999999998"/>
    <s v="USD"/>
    <x v="213"/>
    <x v="0"/>
    <x v="0"/>
    <s v="BASIC PUFFER JACKET"/>
    <x v="2"/>
    <x v="0"/>
  </r>
  <r>
    <n v="144497"/>
    <x v="0"/>
    <x v="0"/>
    <x v="0"/>
    <x v="0"/>
    <n v="1105"/>
    <x v="200"/>
    <s v="342171615-104-2"/>
    <x v="165"/>
    <s v="Sweater with high collar and long sleeves. Front zip closure."/>
    <n v="49.9"/>
    <s v="USD"/>
    <x v="214"/>
    <x v="1"/>
    <x v="1"/>
    <s v="STRIPED KNIT SWEATER"/>
    <x v="2"/>
    <x v="2"/>
  </r>
  <r>
    <n v="129134"/>
    <x v="1"/>
    <x v="1"/>
    <x v="0"/>
    <x v="0"/>
    <n v="1831"/>
    <x v="201"/>
    <s v="316715458-250-2"/>
    <x v="166"/>
    <s v="Roomy T-shirt made of dense cotton. Round neck and short sleeves."/>
    <n v="29.9"/>
    <s v="USD"/>
    <x v="215"/>
    <x v="2"/>
    <x v="0"/>
    <s v="BASIC HEAVYWEIGHT T-SHIRT"/>
    <x v="2"/>
    <x v="1"/>
  </r>
  <r>
    <n v="159816"/>
    <x v="2"/>
    <x v="1"/>
    <x v="0"/>
    <x v="0"/>
    <n v="1961"/>
    <x v="202"/>
    <s v="318255748-250-2"/>
    <x v="167"/>
    <s v="Regular fit T-shirt. Round neck and short sleeves."/>
    <n v="27.9"/>
    <s v="USD"/>
    <x v="216"/>
    <x v="2"/>
    <x v="0"/>
    <s v="BASIC MEDIUM WEIGHT T-SHIRT"/>
    <x v="2"/>
    <x v="1"/>
  </r>
  <r>
    <n v="165326"/>
    <x v="1"/>
    <x v="1"/>
    <x v="0"/>
    <x v="1"/>
    <n v="1188"/>
    <x v="203"/>
    <s v="319334069-712-2"/>
    <x v="120"/>
    <s v="Full cut T-shirt made of mesh textured fabric. Contrast rib V-neckline and short sleeves. Front contrast printed text."/>
    <n v="45.9"/>
    <s v="USD"/>
    <x v="217"/>
    <x v="2"/>
    <x v="0"/>
    <s v="STRUCTURED TEXT T-SHIRT"/>
    <x v="2"/>
    <x v="2"/>
  </r>
  <r>
    <n v="167281"/>
    <x v="0"/>
    <x v="0"/>
    <x v="0"/>
    <x v="0"/>
    <n v="892"/>
    <x v="204"/>
    <s v="311297328-800-39"/>
    <x v="168"/>
    <s v="High top sneakers. Upper in a combination of pieces and materials. Lacing with seven pairs of eyelets. Chunky tonal sole."/>
    <n v="59.9"/>
    <s v="USD"/>
    <x v="218"/>
    <x v="3"/>
    <x v="0"/>
    <s v="SUEDE HIGH-TOPS"/>
    <x v="2"/>
    <x v="2"/>
  </r>
  <r>
    <n v="118569"/>
    <x v="1"/>
    <x v="1"/>
    <x v="0"/>
    <x v="0"/>
    <n v="994"/>
    <x v="205"/>
    <s v="313890645-330-2"/>
    <x v="169"/>
    <s v="Sweater made with 31% wool and 28% alpaca. Round neck and long sleeves."/>
    <n v="49.9"/>
    <s v="USD"/>
    <x v="219"/>
    <x v="1"/>
    <x v="1"/>
    <s v="ALPACA AND WOOL BLEND TIE DYE KNIT SWEATER"/>
    <x v="2"/>
    <x v="2"/>
  </r>
  <r>
    <n v="183537"/>
    <x v="2"/>
    <x v="0"/>
    <x v="0"/>
    <x v="0"/>
    <n v="2434"/>
    <x v="206"/>
    <s v="281883711-071-2"/>
    <x v="170"/>
    <s v="Relaxed fit overshirt. Lapel collar and long sleeves with snap button cuffs. Chest patch pockets. Side vents at hem. Front snap button closure."/>
    <n v="19.989999999999998"/>
    <s v="USD"/>
    <x v="220"/>
    <x v="0"/>
    <x v="0"/>
    <s v="PAINT PRINT OVERSHIRT"/>
    <x v="2"/>
    <x v="0"/>
  </r>
  <r>
    <n v="160763"/>
    <x v="2"/>
    <x v="0"/>
    <x v="0"/>
    <x v="0"/>
    <n v="991"/>
    <x v="207"/>
    <s v="311282212-800-39"/>
    <x v="171"/>
    <s v="Sneakers. Monochromatic. Upper in a combination of pieces. Closure with three adhesive straps. Slightly chunky sole."/>
    <n v="45.9"/>
    <s v="USD"/>
    <x v="221"/>
    <x v="3"/>
    <x v="0"/>
    <s v="ADHERENT STRIPES SNEAKERS"/>
    <x v="2"/>
    <x v="2"/>
  </r>
  <r>
    <n v="155674"/>
    <x v="2"/>
    <x v="1"/>
    <x v="0"/>
    <x v="1"/>
    <n v="897"/>
    <x v="71"/>
    <s v="323218942-800-2"/>
    <x v="172"/>
    <s v="Round neck long sleeve sweater. Side slit at hem with metal bead appliquÃ©s."/>
    <n v="49.9"/>
    <s v="USD"/>
    <x v="222"/>
    <x v="1"/>
    <x v="1"/>
    <s v="METAL BEAD KNIT SWEATER"/>
    <x v="2"/>
    <x v="2"/>
  </r>
  <r>
    <n v="144012"/>
    <x v="2"/>
    <x v="0"/>
    <x v="0"/>
    <x v="1"/>
    <n v="743"/>
    <x v="208"/>
    <s v="314937772-710-2"/>
    <x v="173"/>
    <s v="Relaxed fit overshirt made with cotton fabric. Lapel collar and long sleeves with buttoned cuffs. Chest patch pocket. Contrasting topstitching all over the garment. Front button closure."/>
    <n v="59.9"/>
    <s v="USD"/>
    <x v="223"/>
    <x v="0"/>
    <x v="0"/>
    <s v="OVERSHIRT WITH CONTRASTING TOPSTITCHING"/>
    <x v="2"/>
    <x v="2"/>
  </r>
  <r>
    <n v="158958"/>
    <x v="0"/>
    <x v="1"/>
    <x v="0"/>
    <x v="1"/>
    <n v="903"/>
    <x v="209"/>
    <s v="320111404-428-2"/>
    <x v="174"/>
    <s v="Cropped fit knit shirt. Round neck and long sleeves. Washed effect."/>
    <n v="45.9"/>
    <s v="USD"/>
    <x v="224"/>
    <x v="2"/>
    <x v="0"/>
    <s v="RIBBED KNIT T-SHIRT"/>
    <x v="2"/>
    <x v="2"/>
  </r>
  <r>
    <n v="122926"/>
    <x v="0"/>
    <x v="1"/>
    <x v="0"/>
    <x v="1"/>
    <n v="867"/>
    <x v="125"/>
    <s v="319465261-800-2"/>
    <x v="175"/>
    <s v="V-neck sweater with long sleeves. Rib trim."/>
    <n v="45.9"/>
    <s v="USD"/>
    <x v="225"/>
    <x v="1"/>
    <x v="1"/>
    <s v="KNIT V-NECK SWEATER"/>
    <x v="2"/>
    <x v="2"/>
  </r>
  <r>
    <n v="185154"/>
    <x v="1"/>
    <x v="0"/>
    <x v="0"/>
    <x v="1"/>
    <n v="996"/>
    <x v="210"/>
    <s v="311307261-712-2"/>
    <x v="176"/>
    <s v="Full cut T-shirt with crew neck and short sleeves. Contrasting front and back prints. Washed effect."/>
    <n v="39.9"/>
    <s v="USD"/>
    <x v="226"/>
    <x v="2"/>
    <x v="0"/>
    <s v="ABSTRACT PRINT T-SHIRT"/>
    <x v="2"/>
    <x v="2"/>
  </r>
  <r>
    <n v="170364"/>
    <x v="1"/>
    <x v="1"/>
    <x v="0"/>
    <x v="1"/>
    <n v="818"/>
    <x v="211"/>
    <s v="315851805-800-39"/>
    <x v="177"/>
    <s v="Sandals with two straps. The thin straps hug the instep. Slightly chunky sole."/>
    <n v="45.9"/>
    <s v="USD"/>
    <x v="227"/>
    <x v="3"/>
    <x v="0"/>
    <s v="STRAP SANDALS"/>
    <x v="2"/>
    <x v="2"/>
  </r>
  <r>
    <n v="136272"/>
    <x v="0"/>
    <x v="1"/>
    <x v="0"/>
    <x v="0"/>
    <n v="2887"/>
    <x v="212"/>
    <s v="267195405-500-3"/>
    <x v="178"/>
    <s v="High collar sweater with front zipper. Long sleeves. Rib trim."/>
    <n v="12.99"/>
    <s v="USD"/>
    <x v="228"/>
    <x v="1"/>
    <x v="0"/>
    <s v="PURL KNIT SWEATER"/>
    <x v="2"/>
    <x v="0"/>
  </r>
  <r>
    <n v="154846"/>
    <x v="0"/>
    <x v="0"/>
    <x v="0"/>
    <x v="1"/>
    <n v="917"/>
    <x v="213"/>
    <s v="328232452-898-2"/>
    <x v="179"/>
    <s v="Cropped shirt. Round neckline. Contrasting front print. Washed effect. Irregular trim."/>
    <n v="39.9"/>
    <s v="USD"/>
    <x v="229"/>
    <x v="2"/>
    <x v="0"/>
    <s v="PRINTED CROPPED FIT SHIRT LIMITED EDITION"/>
    <x v="2"/>
    <x v="2"/>
  </r>
  <r>
    <n v="199279"/>
    <x v="1"/>
    <x v="1"/>
    <x v="0"/>
    <x v="1"/>
    <n v="1770"/>
    <x v="214"/>
    <s v="267186163-643-2"/>
    <x v="110"/>
    <s v="Jacket made of technical fabric with brushed interior. High collar with adjustable hood. Long sleeves with cuffs and adhesive straps. Zip pockets at chest and hip. Front zip closure."/>
    <n v="19.989999999999998"/>
    <s v="USD"/>
    <x v="230"/>
    <x v="0"/>
    <x v="0"/>
    <s v="HOODED TECHNICAL JACKET"/>
    <x v="2"/>
    <x v="1"/>
  </r>
  <r>
    <n v="147690"/>
    <x v="1"/>
    <x v="0"/>
    <x v="0"/>
    <x v="1"/>
    <n v="881"/>
    <x v="215"/>
    <s v="322909502-819-2"/>
    <x v="180"/>
    <s v="Relaxed fit T-shirt with round neck and short sleeves."/>
    <n v="39.9"/>
    <s v="USD"/>
    <x v="231"/>
    <x v="2"/>
    <x v="0"/>
    <s v="STRIPED JACQUARD T-SHIRT"/>
    <x v="2"/>
    <x v="2"/>
  </r>
  <r>
    <n v="122307"/>
    <x v="0"/>
    <x v="1"/>
    <x v="0"/>
    <x v="1"/>
    <n v="702"/>
    <x v="216"/>
    <s v="317230892-251-3"/>
    <x v="174"/>
    <s v="Cotton knit tank top. Round neck with front button closure. Rib trim."/>
    <n v="49.9"/>
    <s v="USD"/>
    <x v="232"/>
    <x v="2"/>
    <x v="0"/>
    <s v="RIBBED KNIT T-SHIRT"/>
    <x v="2"/>
    <x v="2"/>
  </r>
  <r>
    <n v="186681"/>
    <x v="0"/>
    <x v="1"/>
    <x v="0"/>
    <x v="0"/>
    <n v="1717"/>
    <x v="217"/>
    <s v="267133943-711-2"/>
    <x v="181"/>
    <s v="Padded jacket made of technical fabric. High collar and long sleeves. Welt pockets at hip. Elasticized trim. Front zip closure."/>
    <n v="19.989999999999998"/>
    <s v="USD"/>
    <x v="233"/>
    <x v="0"/>
    <x v="0"/>
    <s v="LIGHTWEIGHT PUFFER JACKET"/>
    <x v="2"/>
    <x v="1"/>
  </r>
  <r>
    <n v="155010"/>
    <x v="1"/>
    <x v="0"/>
    <x v="0"/>
    <x v="0"/>
    <n v="729"/>
    <x v="218"/>
    <s v="328232445-800-2"/>
    <x v="182"/>
    <s v="Slim fit shirt made of wrinkle effect fabric. Round neck and long sleeves."/>
    <n v="45.9"/>
    <s v="USD"/>
    <x v="234"/>
    <x v="2"/>
    <x v="0"/>
    <s v="SEMI-SHEER KNIT SHIRT LIMITED EDITION"/>
    <x v="2"/>
    <x v="2"/>
  </r>
  <r>
    <n v="137044"/>
    <x v="1"/>
    <x v="1"/>
    <x v="0"/>
    <x v="0"/>
    <n v="2534"/>
    <x v="214"/>
    <s v="320680326-107-39"/>
    <x v="23"/>
    <s v="Varsity jacket with elastic collar and long sleeves. Welt pockets at hip and interior pocket. Embroidered appliquÃ© and contrast front and back patches. Rib trim. Front snap button closure."/>
    <n v="12.99"/>
    <s v="USD"/>
    <x v="235"/>
    <x v="0"/>
    <x v="0"/>
    <s v="PATCH BOMBER JACKET"/>
    <x v="2"/>
    <x v="0"/>
  </r>
  <r>
    <n v="174708"/>
    <x v="2"/>
    <x v="1"/>
    <x v="0"/>
    <x v="0"/>
    <n v="529"/>
    <x v="219"/>
    <s v="317889153-700-3"/>
    <x v="183"/>
    <s v="Full cut cotton knit sweater. Round neck and long sleeves. Rib trim."/>
    <n v="59.9"/>
    <s v="USD"/>
    <x v="236"/>
    <x v="1"/>
    <x v="0"/>
    <s v="ABSTRACT JACQUARD SWEATER"/>
    <x v="2"/>
    <x v="2"/>
  </r>
  <r>
    <n v="186083"/>
    <x v="0"/>
    <x v="1"/>
    <x v="0"/>
    <x v="0"/>
    <n v="624"/>
    <x v="220"/>
    <s v="312393140-406-2"/>
    <x v="184"/>
    <s v="Wide fit jeans. Adjustable interior elastic waistband with front pleats. Front pockets and back patch pockets. Washed effect. Front zip and button closure."/>
    <n v="49.9"/>
    <s v="USD"/>
    <x v="237"/>
    <x v="4"/>
    <x v="0"/>
    <s v="PLEATED WIDE FIT JEANS"/>
    <x v="2"/>
    <x v="2"/>
  </r>
  <r>
    <n v="185809"/>
    <x v="0"/>
    <x v="1"/>
    <x v="0"/>
    <x v="1"/>
    <n v="622"/>
    <x v="80"/>
    <s v="313890688-330-1"/>
    <x v="185"/>
    <s v="Round neck long sleeve sweater. Openwork detail with rips."/>
    <n v="49.9"/>
    <s v="USD"/>
    <x v="238"/>
    <x v="1"/>
    <x v="1"/>
    <s v="KNIT SWEATER WITH RIPS"/>
    <x v="2"/>
    <x v="2"/>
  </r>
  <r>
    <n v="140142"/>
    <x v="2"/>
    <x v="0"/>
    <x v="0"/>
    <x v="1"/>
    <n v="606"/>
    <x v="221"/>
    <s v="328207551-500-2"/>
    <x v="186"/>
    <s v="High collar sweater with long sleeves. Open back detail and pearl appliquÃ©s. Back button closure."/>
    <n v="49.9"/>
    <s v="USD"/>
    <x v="239"/>
    <x v="1"/>
    <x v="1"/>
    <s v="KNIT OPEN BACK PEARLY SWEATER"/>
    <x v="2"/>
    <x v="2"/>
  </r>
  <r>
    <n v="154736"/>
    <x v="2"/>
    <x v="0"/>
    <x v="0"/>
    <x v="0"/>
    <n v="1466"/>
    <x v="152"/>
    <s v="311292244-800-39"/>
    <x v="25"/>
    <s v="Varsity jacket with padded interior. Rib elastic collar and long sleeves in contrast faux leather. Double welt pockets at hip and interior pocket. Contrasting patch appliquÃ©s at front and back. Rib trim. Front snap button closure."/>
    <n v="19.899999999999999"/>
    <s v="USD"/>
    <x v="240"/>
    <x v="0"/>
    <x v="0"/>
    <s v="CROPPED BOMBER JACKET LIMITED EDITION"/>
    <x v="2"/>
    <x v="1"/>
  </r>
  <r>
    <n v="132322"/>
    <x v="2"/>
    <x v="0"/>
    <x v="0"/>
    <x v="1"/>
    <n v="2135"/>
    <x v="222"/>
    <s v="289179723-020-2"/>
    <x v="187"/>
    <s v="Boxy fit overshirt. Lapel collar and short sleeves. Front snap button closure."/>
    <n v="12.99"/>
    <s v="USD"/>
    <x v="241"/>
    <x v="0"/>
    <x v="0"/>
    <s v="PRINTED DENIM OVERSHIRT"/>
    <x v="2"/>
    <x v="1"/>
  </r>
  <r>
    <n v="122484"/>
    <x v="1"/>
    <x v="0"/>
    <x v="0"/>
    <x v="0"/>
    <n v="558"/>
    <x v="45"/>
    <s v="319473750-809-1"/>
    <x v="188"/>
    <s v="V-neck sweater with long sleeves. Side vents at hem."/>
    <n v="47.9"/>
    <s v="USD"/>
    <x v="242"/>
    <x v="1"/>
    <x v="1"/>
    <s v="V-NECK KNIT SWEATER"/>
    <x v="2"/>
    <x v="2"/>
  </r>
  <r>
    <n v="147998"/>
    <x v="1"/>
    <x v="1"/>
    <x v="0"/>
    <x v="1"/>
    <n v="2556"/>
    <x v="223"/>
    <s v="277776476-700-39"/>
    <x v="189"/>
    <s v="High-top sneakers. Upper in a combination of pieces. Laces with ten pairs of eyelets. Chunky sole."/>
    <n v="9.99"/>
    <s v="USD"/>
    <x v="243"/>
    <x v="3"/>
    <x v="0"/>
    <s v="RETRO HIGH TOP SNEAKERS"/>
    <x v="2"/>
    <x v="0"/>
  </r>
  <r>
    <n v="132007"/>
    <x v="1"/>
    <x v="1"/>
    <x v="0"/>
    <x v="0"/>
    <n v="2491"/>
    <x v="224"/>
    <s v="276378605-515-39"/>
    <x v="190"/>
    <s v="Sneakers. Upper in a combination of pieces and materials. Lacing with seven pairs of eyelets. Quilted back piece. Chunky sole. Retro style."/>
    <n v="9.99"/>
    <s v="USD"/>
    <x v="244"/>
    <x v="3"/>
    <x v="0"/>
    <s v="RETRO SNEAKERS"/>
    <x v="2"/>
    <x v="0"/>
  </r>
  <r>
    <n v="142257"/>
    <x v="1"/>
    <x v="0"/>
    <x v="0"/>
    <x v="0"/>
    <n v="1180"/>
    <x v="225"/>
    <s v="315241755-800-2"/>
    <x v="191"/>
    <s v="Slim fit shirt. Round neck and short sleeves."/>
    <n v="19.899999999999999"/>
    <s v="USD"/>
    <x v="245"/>
    <x v="2"/>
    <x v="0"/>
    <s v="BASIC SLIM FIT T-SHIRT"/>
    <x v="2"/>
    <x v="2"/>
  </r>
  <r>
    <n v="185774"/>
    <x v="0"/>
    <x v="0"/>
    <x v="0"/>
    <x v="0"/>
    <n v="1145"/>
    <x v="193"/>
    <s v="316727555-700-2"/>
    <x v="93"/>
    <s v="Overshirt with lapel collar and long sleeves with buttoned cuffs. Chest patch pocket. Front button closure."/>
    <n v="19.989999999999998"/>
    <s v="USD"/>
    <x v="246"/>
    <x v="2"/>
    <x v="0"/>
    <s v="FAUX SUEDE BOMBER JACKET"/>
    <x v="2"/>
    <x v="2"/>
  </r>
  <r>
    <n v="185307"/>
    <x v="2"/>
    <x v="1"/>
    <x v="0"/>
    <x v="0"/>
    <n v="2743"/>
    <x v="84"/>
    <s v="300250126-401-2"/>
    <x v="192"/>
    <s v="Sweater made of 100% wool. Round neck and long sleeves. Ribbed trim."/>
    <n v="7.99"/>
    <s v="USD"/>
    <x v="247"/>
    <x v="1"/>
    <x v="1"/>
    <s v="BASIC 100% WOOL SWEATER"/>
    <x v="2"/>
    <x v="0"/>
  </r>
  <r>
    <n v="171776"/>
    <x v="1"/>
    <x v="0"/>
    <x v="0"/>
    <x v="1"/>
    <n v="1685"/>
    <x v="226"/>
    <s v="275600408-400-2"/>
    <x v="193"/>
    <s v="Relaxed fit shirt made of denim fabric. Lapel collar and short sleeves. Chest patch pocket. Washed effect. Front button closure."/>
    <n v="12.99"/>
    <s v="USD"/>
    <x v="248"/>
    <x v="4"/>
    <x v="0"/>
    <s v="DENIM SHIRT"/>
    <x v="2"/>
    <x v="1"/>
  </r>
  <r>
    <n v="136738"/>
    <x v="2"/>
    <x v="1"/>
    <x v="0"/>
    <x v="0"/>
    <n v="542"/>
    <x v="227"/>
    <s v="287414911-803-2"/>
    <x v="194"/>
    <s v="Sweater with high collar and long sleeves. Front pocket. Side vents at hem. Rib trim."/>
    <n v="7.99"/>
    <s v="USD"/>
    <x v="249"/>
    <x v="1"/>
    <x v="1"/>
    <s v="HIGH COLLAR KNIT SWEATER"/>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41:E46" firstHeaderRow="1" firstDataRow="2" firstDataCol="1"/>
  <pivotFields count="18">
    <pivotField showAll="0"/>
    <pivotField showAll="0">
      <items count="4">
        <item x="1"/>
        <item x="0"/>
        <item x="2"/>
        <item t="default"/>
      </items>
    </pivotField>
    <pivotField showAll="0">
      <items count="3">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sortType="descending" avgSubtotal="1">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avg"/>
      </items>
    </pivotField>
    <pivotField showAll="0">
      <items count="6">
        <item x="0"/>
        <item x="4"/>
        <item x="3"/>
        <item x="1"/>
        <item x="2"/>
        <item t="default"/>
      </items>
    </pivotField>
    <pivotField showAll="0">
      <items count="3">
        <item x="0"/>
        <item x="1"/>
        <item t="default"/>
      </items>
    </pivotField>
    <pivotField showAll="0"/>
    <pivotField axis="axisRow" showAll="0" sumSubtotal="1">
      <items count="4">
        <item x="2"/>
        <item x="1"/>
        <item x="0"/>
        <item t="sum"/>
      </items>
    </pivotField>
    <pivotField name="Product volume categories" axis="axisCol" dataField="1" showAll="0">
      <items count="4">
        <item x="2"/>
        <item x="1"/>
        <item x="0"/>
        <item t="default"/>
      </items>
    </pivotField>
  </pivotFields>
  <rowFields count="1">
    <field x="16"/>
  </rowFields>
  <rowItems count="4">
    <i>
      <x/>
    </i>
    <i>
      <x v="1"/>
    </i>
    <i>
      <x v="2"/>
    </i>
    <i t="grand">
      <x/>
    </i>
  </rowItems>
  <colFields count="1">
    <field x="17"/>
  </colFields>
  <colItems count="4">
    <i>
      <x/>
    </i>
    <i>
      <x v="1"/>
    </i>
    <i>
      <x v="2"/>
    </i>
    <i t="grand">
      <x/>
    </i>
  </colItems>
  <dataFields count="1">
    <dataField name="Count of Column1" fld="17" subtotal="count" baseField="0" baseItem="0"/>
  </dataFields>
  <chartFormats count="9">
    <chartFormat chart="0" format="261" series="1">
      <pivotArea type="data" outline="0" fieldPosition="0">
        <references count="1">
          <reference field="16" count="1" selected="0">
            <x v="0"/>
          </reference>
        </references>
      </pivotArea>
    </chartFormat>
    <chartFormat chart="0" format="262" series="1">
      <pivotArea type="data" outline="0" fieldPosition="0">
        <references count="1">
          <reference field="16" count="1" selected="0">
            <x v="1"/>
          </reference>
        </references>
      </pivotArea>
    </chartFormat>
    <chartFormat chart="0" format="263" series="1">
      <pivotArea type="data" outline="0" fieldPosition="0">
        <references count="1">
          <reference field="16" count="1" selected="0">
            <x v="2"/>
          </reference>
        </references>
      </pivotArea>
    </chartFormat>
    <chartFormat chart="0" format="264" series="1">
      <pivotArea type="data" outline="0" fieldPosition="0">
        <references count="1">
          <reference field="17" count="1" selected="0">
            <x v="1"/>
          </reference>
        </references>
      </pivotArea>
    </chartFormat>
    <chartFormat chart="0" format="265" series="1">
      <pivotArea type="data" outline="0" fieldPosition="0">
        <references count="1">
          <reference field="17" count="1" selected="0">
            <x v="2"/>
          </reference>
        </references>
      </pivotArea>
    </chartFormat>
    <chartFormat chart="0" format="266" series="1">
      <pivotArea type="data" outline="0" fieldPosition="0">
        <references count="1">
          <reference field="17" count="1" selected="0">
            <x v="0"/>
          </reference>
        </references>
      </pivotArea>
    </chartFormat>
    <chartFormat chart="0" format="267" series="1">
      <pivotArea type="data" outline="0" fieldPosition="0">
        <references count="2">
          <reference field="4294967294" count="1" selected="0">
            <x v="0"/>
          </reference>
          <reference field="17" count="1" selected="0">
            <x v="0"/>
          </reference>
        </references>
      </pivotArea>
    </chartFormat>
    <chartFormat chart="0" format="268" series="1">
      <pivotArea type="data" outline="0" fieldPosition="0">
        <references count="2">
          <reference field="4294967294" count="1" selected="0">
            <x v="0"/>
          </reference>
          <reference field="17" count="1" selected="0">
            <x v="1"/>
          </reference>
        </references>
      </pivotArea>
    </chartFormat>
    <chartFormat chart="0" format="269"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7:A8" firstHeaderRow="1" firstDataRow="1" firstDataCol="0"/>
  <pivotFields count="18">
    <pivotField showAll="0"/>
    <pivotField showAll="0">
      <items count="4">
        <item x="1"/>
        <item x="0"/>
        <item x="2"/>
        <item t="default"/>
      </items>
    </pivotField>
    <pivotField showAll="0">
      <items count="3">
        <item x="1"/>
        <item x="0"/>
        <item t="default"/>
      </items>
    </pivotField>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items count="6">
        <item x="0"/>
        <item x="4"/>
        <item x="3"/>
        <item x="1"/>
        <item x="2"/>
        <item t="default"/>
      </items>
    </pivotField>
    <pivotField showAll="0">
      <items count="3">
        <item x="0"/>
        <item x="1"/>
        <item t="default"/>
      </items>
    </pivotField>
    <pivotField showAll="0"/>
    <pivotField showAll="0">
      <items count="4">
        <item x="2"/>
        <item x="1"/>
        <item x="0"/>
        <item t="default"/>
      </items>
    </pivotField>
    <pivotField showAll="0"/>
  </pivotFields>
  <rowItems count="1">
    <i/>
  </rowItems>
  <colItems count="1">
    <i/>
  </colItems>
  <dataFields count="1">
    <dataField name="Average of price(USD)" fld="10" subtotal="average" baseField="0" baseItem="0"/>
  </dataFields>
  <formats count="1">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0:A11" firstHeaderRow="1" firstDataRow="1" firstDataCol="0"/>
  <pivotFields count="18">
    <pivotField dataField="1" showAll="0"/>
    <pivotField showAll="0">
      <items count="4">
        <item x="1"/>
        <item x="0"/>
        <item x="2"/>
        <item t="default"/>
      </items>
    </pivotField>
    <pivotField showAll="0">
      <items count="3">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6">
        <item x="0"/>
        <item x="4"/>
        <item x="3"/>
        <item x="1"/>
        <item x="2"/>
        <item t="default"/>
      </items>
    </pivotField>
    <pivotField showAll="0">
      <items count="3">
        <item x="0"/>
        <item x="1"/>
        <item t="default"/>
      </items>
    </pivotField>
    <pivotField showAll="0"/>
    <pivotField showAll="0">
      <items count="4">
        <item x="2"/>
        <item x="1"/>
        <item x="0"/>
        <item t="default"/>
      </items>
    </pivotField>
    <pivotField showAll="0"/>
  </pivotFields>
  <rowItems count="1">
    <i/>
  </rowItems>
  <colItems count="1">
    <i/>
  </colItems>
  <dataFields count="1">
    <dataField name="Count of Produc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3:B19" firstHeaderRow="1" firstDataRow="1" firstDataCol="1"/>
  <pivotFields count="18">
    <pivotField showAll="0"/>
    <pivotField showAll="0">
      <items count="4">
        <item x="1"/>
        <item x="0"/>
        <item x="2"/>
        <item t="default"/>
      </items>
    </pivotField>
    <pivotField showAll="0">
      <items count="3">
        <item x="1"/>
        <item x="0"/>
        <item t="default"/>
      </items>
    </pivotField>
    <pivotField showAll="0">
      <items count="2">
        <item x="0"/>
        <item t="default"/>
      </items>
    </pivotField>
    <pivotField showAll="0">
      <items count="3">
        <item x="1"/>
        <item x="0"/>
        <item t="default"/>
      </items>
    </pivotField>
    <pivotField showAll="0"/>
    <pivotField showAll="0">
      <items count="229">
        <item x="56"/>
        <item x="138"/>
        <item x="52"/>
        <item x="20"/>
        <item x="219"/>
        <item x="169"/>
        <item x="210"/>
        <item x="82"/>
        <item x="207"/>
        <item x="205"/>
        <item x="121"/>
        <item x="83"/>
        <item x="133"/>
        <item x="161"/>
        <item x="115"/>
        <item x="155"/>
        <item x="144"/>
        <item x="84"/>
        <item x="66"/>
        <item x="201"/>
        <item x="157"/>
        <item x="202"/>
        <item x="199"/>
        <item x="225"/>
        <item x="117"/>
        <item x="90"/>
        <item x="127"/>
        <item x="27"/>
        <item x="130"/>
        <item x="39"/>
        <item x="128"/>
        <item x="183"/>
        <item x="4"/>
        <item x="65"/>
        <item x="189"/>
        <item x="98"/>
        <item x="15"/>
        <item x="74"/>
        <item x="172"/>
        <item x="46"/>
        <item x="63"/>
        <item x="18"/>
        <item x="96"/>
        <item x="178"/>
        <item x="41"/>
        <item x="88"/>
        <item x="105"/>
        <item x="35"/>
        <item x="163"/>
        <item x="171"/>
        <item x="38"/>
        <item x="31"/>
        <item x="22"/>
        <item x="118"/>
        <item x="150"/>
        <item x="142"/>
        <item x="26"/>
        <item x="226"/>
        <item x="5"/>
        <item x="87"/>
        <item x="58"/>
        <item x="92"/>
        <item x="86"/>
        <item x="132"/>
        <item x="23"/>
        <item x="51"/>
        <item x="53"/>
        <item x="107"/>
        <item x="7"/>
        <item x="30"/>
        <item x="187"/>
        <item x="57"/>
        <item x="135"/>
        <item x="114"/>
        <item x="126"/>
        <item x="196"/>
        <item x="99"/>
        <item x="85"/>
        <item x="190"/>
        <item x="19"/>
        <item x="154"/>
        <item x="102"/>
        <item x="176"/>
        <item x="188"/>
        <item x="12"/>
        <item x="120"/>
        <item x="42"/>
        <item x="181"/>
        <item x="17"/>
        <item x="227"/>
        <item x="50"/>
        <item x="72"/>
        <item x="174"/>
        <item x="122"/>
        <item x="184"/>
        <item x="214"/>
        <item x="139"/>
        <item x="152"/>
        <item x="73"/>
        <item x="40"/>
        <item x="221"/>
        <item x="182"/>
        <item x="193"/>
        <item x="68"/>
        <item x="24"/>
        <item x="80"/>
        <item x="125"/>
        <item x="14"/>
        <item x="9"/>
        <item x="145"/>
        <item x="131"/>
        <item x="217"/>
        <item x="2"/>
        <item x="71"/>
        <item x="186"/>
        <item x="108"/>
        <item x="156"/>
        <item x="54"/>
        <item x="104"/>
        <item x="123"/>
        <item x="153"/>
        <item x="146"/>
        <item x="164"/>
        <item x="208"/>
        <item x="191"/>
        <item x="62"/>
        <item x="75"/>
        <item x="175"/>
        <item x="47"/>
        <item x="78"/>
        <item x="76"/>
        <item x="91"/>
        <item x="95"/>
        <item x="206"/>
        <item x="28"/>
        <item x="165"/>
        <item x="173"/>
        <item x="110"/>
        <item x="159"/>
        <item x="119"/>
        <item x="137"/>
        <item x="129"/>
        <item x="197"/>
        <item x="220"/>
        <item x="77"/>
        <item x="109"/>
        <item x="6"/>
        <item x="55"/>
        <item x="101"/>
        <item x="33"/>
        <item x="166"/>
        <item x="103"/>
        <item x="32"/>
        <item x="213"/>
        <item x="222"/>
        <item x="44"/>
        <item x="212"/>
        <item x="37"/>
        <item x="180"/>
        <item x="223"/>
        <item x="177"/>
        <item x="224"/>
        <item x="116"/>
        <item x="216"/>
        <item x="209"/>
        <item x="25"/>
        <item x="81"/>
        <item x="59"/>
        <item x="218"/>
        <item x="29"/>
        <item x="8"/>
        <item x="69"/>
        <item x="21"/>
        <item x="211"/>
        <item x="106"/>
        <item x="60"/>
        <item x="13"/>
        <item x="215"/>
        <item x="200"/>
        <item x="195"/>
        <item x="203"/>
        <item x="151"/>
        <item x="134"/>
        <item x="64"/>
        <item x="204"/>
        <item x="1"/>
        <item x="158"/>
        <item x="67"/>
        <item x="162"/>
        <item x="170"/>
        <item x="149"/>
        <item x="89"/>
        <item x="168"/>
        <item x="10"/>
        <item x="148"/>
        <item x="34"/>
        <item x="70"/>
        <item x="100"/>
        <item x="61"/>
        <item x="49"/>
        <item x="143"/>
        <item x="192"/>
        <item x="113"/>
        <item x="94"/>
        <item x="198"/>
        <item x="124"/>
        <item x="147"/>
        <item x="136"/>
        <item x="185"/>
        <item x="140"/>
        <item x="141"/>
        <item x="0"/>
        <item x="160"/>
        <item x="45"/>
        <item x="79"/>
        <item x="36"/>
        <item x="48"/>
        <item x="179"/>
        <item x="16"/>
        <item x="112"/>
        <item x="93"/>
        <item x="43"/>
        <item x="11"/>
        <item x="3"/>
        <item x="194"/>
        <item x="167"/>
        <item x="97"/>
        <item x="111"/>
        <item t="default"/>
      </items>
    </pivotField>
    <pivotField showAll="0"/>
    <pivotField showAll="0" maxSubtotal="1">
      <items count="196">
        <item x="47"/>
        <item x="44"/>
        <item x="18"/>
        <item x="183"/>
        <item x="134"/>
        <item x="176"/>
        <item x="67"/>
        <item x="171"/>
        <item x="169"/>
        <item x="98"/>
        <item x="105"/>
        <item x="68"/>
        <item x="126"/>
        <item x="114"/>
        <item x="94"/>
        <item x="192"/>
        <item x="130"/>
        <item x="166"/>
        <item x="142"/>
        <item x="167"/>
        <item x="164"/>
        <item x="191"/>
        <item x="73"/>
        <item x="21"/>
        <item x="104"/>
        <item x="33"/>
        <item x="103"/>
        <item x="150"/>
        <item x="4"/>
        <item x="81"/>
        <item x="55"/>
        <item x="154"/>
        <item x="62"/>
        <item x="143"/>
        <item x="144"/>
        <item x="34"/>
        <item x="71"/>
        <item x="86"/>
        <item x="38"/>
        <item x="15"/>
        <item x="79"/>
        <item x="136"/>
        <item x="29"/>
        <item x="128"/>
        <item x="32"/>
        <item x="25"/>
        <item x="20"/>
        <item x="96"/>
        <item x="118"/>
        <item x="113"/>
        <item x="22"/>
        <item x="193"/>
        <item x="5"/>
        <item x="70"/>
        <item x="49"/>
        <item x="75"/>
        <item x="147"/>
        <item x="13"/>
        <item x="43"/>
        <item x="45"/>
        <item x="7"/>
        <item x="24"/>
        <item x="48"/>
        <item x="108"/>
        <item x="93"/>
        <item x="82"/>
        <item x="69"/>
        <item x="155"/>
        <item x="107"/>
        <item x="122"/>
        <item x="84"/>
        <item x="140"/>
        <item x="153"/>
        <item x="132"/>
        <item x="97"/>
        <item x="35"/>
        <item x="148"/>
        <item x="17"/>
        <item x="194"/>
        <item x="42"/>
        <item x="60"/>
        <item x="138"/>
        <item x="99"/>
        <item x="110"/>
        <item x="121"/>
        <item x="61"/>
        <item x="88"/>
        <item x="186"/>
        <item x="149"/>
        <item x="158"/>
        <item x="58"/>
        <item x="115"/>
        <item x="185"/>
        <item x="175"/>
        <item x="14"/>
        <item x="9"/>
        <item x="56"/>
        <item x="181"/>
        <item x="2"/>
        <item x="172"/>
        <item x="152"/>
        <item x="87"/>
        <item x="123"/>
        <item x="46"/>
        <item x="85"/>
        <item x="116"/>
        <item x="100"/>
        <item x="129"/>
        <item x="173"/>
        <item x="139"/>
        <item x="156"/>
        <item x="53"/>
        <item x="161"/>
        <item x="63"/>
        <item x="74"/>
        <item x="78"/>
        <item x="170"/>
        <item x="23"/>
        <item x="90"/>
        <item x="162"/>
        <item x="184"/>
        <item x="64"/>
        <item x="89"/>
        <item x="6"/>
        <item x="27"/>
        <item x="26"/>
        <item x="179"/>
        <item x="187"/>
        <item x="36"/>
        <item x="178"/>
        <item x="31"/>
        <item x="146"/>
        <item x="189"/>
        <item x="141"/>
        <item x="190"/>
        <item x="95"/>
        <item x="12"/>
        <item x="174"/>
        <item x="66"/>
        <item x="50"/>
        <item x="182"/>
        <item x="8"/>
        <item x="119"/>
        <item x="19"/>
        <item x="177"/>
        <item x="37"/>
        <item x="51"/>
        <item x="101"/>
        <item x="180"/>
        <item x="165"/>
        <item x="160"/>
        <item x="120"/>
        <item x="106"/>
        <item x="54"/>
        <item x="168"/>
        <item x="1"/>
        <item x="124"/>
        <item x="57"/>
        <item x="127"/>
        <item x="135"/>
        <item x="72"/>
        <item x="133"/>
        <item x="28"/>
        <item x="10"/>
        <item x="59"/>
        <item x="83"/>
        <item x="52"/>
        <item x="41"/>
        <item x="157"/>
        <item x="92"/>
        <item x="77"/>
        <item x="163"/>
        <item x="102"/>
        <item x="117"/>
        <item x="109"/>
        <item x="151"/>
        <item x="111"/>
        <item x="112"/>
        <item x="0"/>
        <item x="125"/>
        <item x="188"/>
        <item x="65"/>
        <item x="30"/>
        <item x="40"/>
        <item x="145"/>
        <item x="16"/>
        <item x="76"/>
        <item x="137"/>
        <item x="11"/>
        <item x="3"/>
        <item x="159"/>
        <item x="91"/>
        <item x="131"/>
        <item x="80"/>
        <item x="39"/>
        <item t="max"/>
      </items>
    </pivotField>
    <pivotField showAll="0"/>
    <pivotField showAll="0"/>
    <pivotField showAll="0"/>
    <pivotField dataField="1" showAll="0"/>
    <pivotField axis="axisRow" showAll="0">
      <items count="6">
        <item x="0"/>
        <item x="4"/>
        <item x="3"/>
        <item x="1"/>
        <item x="2"/>
        <item t="default"/>
      </items>
    </pivotField>
    <pivotField showAll="0">
      <items count="3">
        <item x="0"/>
        <item x="1"/>
        <item t="default"/>
      </items>
    </pivotField>
    <pivotField showAll="0"/>
    <pivotField showAll="0">
      <items count="4">
        <item x="2"/>
        <item x="1"/>
        <item x="0"/>
        <item t="default"/>
      </items>
    </pivotField>
    <pivotField showAll="0"/>
  </pivotFields>
  <rowFields count="1">
    <field x="13"/>
  </rowFields>
  <rowItems count="6">
    <i>
      <x/>
    </i>
    <i>
      <x v="1"/>
    </i>
    <i>
      <x v="2"/>
    </i>
    <i>
      <x v="3"/>
    </i>
    <i>
      <x v="4"/>
    </i>
    <i t="grand">
      <x/>
    </i>
  </rowItems>
  <colItems count="1">
    <i/>
  </colItems>
  <dataFields count="1">
    <dataField name="Sum of Sales" fld="12"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18">
    <pivotField showAll="0"/>
    <pivotField showAll="0">
      <items count="4">
        <item x="1"/>
        <item x="0"/>
        <item x="2"/>
        <item t="default"/>
      </items>
    </pivotField>
    <pivotField showAll="0">
      <items count="3">
        <item x="1"/>
        <item x="0"/>
        <item t="default"/>
      </items>
    </pivotField>
    <pivotField showAll="0"/>
    <pivotField showAll="0">
      <items count="3">
        <item x="1"/>
        <item x="0"/>
        <item t="default"/>
      </items>
    </pivotField>
    <pivotField showAll="0"/>
    <pivotField showAll="0"/>
    <pivotField showAll="0"/>
    <pivotField showAll="0">
      <items count="196">
        <item x="47"/>
        <item x="44"/>
        <item x="18"/>
        <item x="183"/>
        <item x="134"/>
        <item x="176"/>
        <item x="67"/>
        <item x="171"/>
        <item x="169"/>
        <item x="98"/>
        <item x="105"/>
        <item x="68"/>
        <item x="126"/>
        <item x="114"/>
        <item x="94"/>
        <item x="192"/>
        <item x="130"/>
        <item x="166"/>
        <item x="142"/>
        <item x="167"/>
        <item x="164"/>
        <item x="191"/>
        <item x="73"/>
        <item x="21"/>
        <item x="104"/>
        <item x="33"/>
        <item x="103"/>
        <item x="150"/>
        <item x="4"/>
        <item x="81"/>
        <item x="55"/>
        <item x="154"/>
        <item x="62"/>
        <item x="143"/>
        <item x="144"/>
        <item x="34"/>
        <item x="71"/>
        <item x="86"/>
        <item x="38"/>
        <item x="15"/>
        <item x="79"/>
        <item x="136"/>
        <item x="29"/>
        <item x="128"/>
        <item x="32"/>
        <item x="25"/>
        <item x="20"/>
        <item x="96"/>
        <item x="118"/>
        <item x="113"/>
        <item x="22"/>
        <item x="193"/>
        <item x="5"/>
        <item x="70"/>
        <item x="49"/>
        <item x="75"/>
        <item x="147"/>
        <item x="13"/>
        <item x="43"/>
        <item x="45"/>
        <item x="7"/>
        <item x="24"/>
        <item x="48"/>
        <item x="108"/>
        <item x="93"/>
        <item x="82"/>
        <item x="69"/>
        <item x="155"/>
        <item x="107"/>
        <item x="122"/>
        <item x="84"/>
        <item x="140"/>
        <item x="153"/>
        <item x="132"/>
        <item x="97"/>
        <item x="35"/>
        <item x="148"/>
        <item x="17"/>
        <item x="194"/>
        <item x="42"/>
        <item x="60"/>
        <item x="138"/>
        <item x="99"/>
        <item x="110"/>
        <item x="121"/>
        <item x="61"/>
        <item x="88"/>
        <item x="186"/>
        <item x="149"/>
        <item x="158"/>
        <item x="58"/>
        <item x="115"/>
        <item x="185"/>
        <item x="175"/>
        <item x="14"/>
        <item x="9"/>
        <item x="56"/>
        <item x="181"/>
        <item x="2"/>
        <item x="172"/>
        <item x="152"/>
        <item x="87"/>
        <item x="123"/>
        <item x="46"/>
        <item x="85"/>
        <item x="116"/>
        <item x="100"/>
        <item x="129"/>
        <item x="173"/>
        <item x="139"/>
        <item x="156"/>
        <item x="53"/>
        <item x="161"/>
        <item x="63"/>
        <item x="74"/>
        <item x="78"/>
        <item x="170"/>
        <item x="23"/>
        <item x="90"/>
        <item x="162"/>
        <item x="184"/>
        <item x="64"/>
        <item x="89"/>
        <item x="6"/>
        <item x="27"/>
        <item x="26"/>
        <item x="179"/>
        <item x="187"/>
        <item x="36"/>
        <item x="178"/>
        <item x="31"/>
        <item x="146"/>
        <item x="189"/>
        <item x="141"/>
        <item x="190"/>
        <item x="95"/>
        <item x="12"/>
        <item x="174"/>
        <item x="66"/>
        <item x="50"/>
        <item x="182"/>
        <item x="8"/>
        <item x="119"/>
        <item x="19"/>
        <item x="177"/>
        <item x="37"/>
        <item x="51"/>
        <item x="101"/>
        <item x="180"/>
        <item x="165"/>
        <item x="160"/>
        <item x="120"/>
        <item x="106"/>
        <item x="54"/>
        <item x="168"/>
        <item x="1"/>
        <item x="124"/>
        <item x="57"/>
        <item x="127"/>
        <item x="135"/>
        <item x="72"/>
        <item x="133"/>
        <item x="28"/>
        <item x="10"/>
        <item x="59"/>
        <item x="83"/>
        <item x="52"/>
        <item x="41"/>
        <item x="157"/>
        <item x="92"/>
        <item x="77"/>
        <item x="163"/>
        <item x="102"/>
        <item x="117"/>
        <item x="109"/>
        <item x="151"/>
        <item x="111"/>
        <item x="112"/>
        <item x="0"/>
        <item x="125"/>
        <item x="188"/>
        <item x="65"/>
        <item x="30"/>
        <item x="40"/>
        <item x="145"/>
        <item x="16"/>
        <item x="76"/>
        <item x="137"/>
        <item x="11"/>
        <item x="3"/>
        <item x="159"/>
        <item x="91"/>
        <item x="131"/>
        <item x="80"/>
        <item x="39"/>
        <item t="default"/>
      </items>
    </pivotField>
    <pivotField showAll="0"/>
    <pivotField showAll="0"/>
    <pivotField showAll="0"/>
    <pivotField dataField="1" showAll="0">
      <items count="251">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0"/>
        <item x="4"/>
        <item x="3"/>
        <item x="1"/>
        <item x="2"/>
        <item t="default"/>
      </items>
    </pivotField>
    <pivotField showAll="0">
      <items count="3">
        <item x="0"/>
        <item x="1"/>
        <item t="default"/>
      </items>
    </pivotField>
    <pivotField showAll="0"/>
    <pivotField showAll="0">
      <items count="4">
        <item x="2"/>
        <item x="1"/>
        <item x="0"/>
        <item t="default"/>
      </items>
    </pivotField>
    <pivotField showAll="0"/>
  </pivotFields>
  <rowItems count="1">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21:B25" firstHeaderRow="1" firstDataRow="1" firstDataCol="1"/>
  <pivotFields count="18">
    <pivotField showAll="0"/>
    <pivotField axis="axisRow" showAll="0">
      <items count="4">
        <item x="1"/>
        <item x="0"/>
        <item x="2"/>
        <item t="default"/>
      </items>
    </pivotField>
    <pivotField showAll="0">
      <items count="3">
        <item x="1"/>
        <item x="0"/>
        <item t="default"/>
      </items>
    </pivotField>
    <pivotField showAll="0"/>
    <pivotField showAll="0">
      <items count="3">
        <item x="1"/>
        <item x="0"/>
        <item t="default"/>
      </items>
    </pivotField>
    <pivotField dataField="1" showAll="0"/>
    <pivotField showAll="0"/>
    <pivotField showAll="0"/>
    <pivotField showAll="0"/>
    <pivotField showAll="0"/>
    <pivotField showAll="0"/>
    <pivotField showAll="0"/>
    <pivotField showAll="0"/>
    <pivotField showAll="0">
      <items count="6">
        <item x="0"/>
        <item x="4"/>
        <item x="3"/>
        <item x="1"/>
        <item x="2"/>
        <item t="default"/>
      </items>
    </pivotField>
    <pivotField showAll="0">
      <items count="3">
        <item x="0"/>
        <item x="1"/>
        <item t="default"/>
      </items>
    </pivotField>
    <pivotField showAll="0"/>
    <pivotField showAll="0">
      <items count="4">
        <item x="2"/>
        <item x="1"/>
        <item x="0"/>
        <item t="default"/>
      </items>
    </pivotField>
    <pivotField showAll="0"/>
  </pivotFields>
  <rowFields count="1">
    <field x="1"/>
  </rowFields>
  <rowItems count="4">
    <i>
      <x/>
    </i>
    <i>
      <x v="1"/>
    </i>
    <i>
      <x v="2"/>
    </i>
    <i t="grand">
      <x/>
    </i>
  </rowItems>
  <colItems count="1">
    <i/>
  </colItems>
  <dataFields count="1">
    <dataField name="Sum of Sales Volume" fld="5"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A5" firstHeaderRow="1" firstDataRow="1" firstDataCol="0"/>
  <pivotFields count="18">
    <pivotField showAll="0"/>
    <pivotField showAll="0">
      <items count="4">
        <item x="1"/>
        <item x="0"/>
        <item x="2"/>
        <item t="default"/>
      </items>
    </pivotField>
    <pivotField showAll="0">
      <items count="3">
        <item x="1"/>
        <item x="0"/>
        <item t="default"/>
      </items>
    </pivotField>
    <pivotField showAll="0"/>
    <pivotField showAll="0">
      <items count="3">
        <item x="1"/>
        <item x="0"/>
        <item t="default"/>
      </items>
    </pivotField>
    <pivotField dataField="1" showAll="0"/>
    <pivotField showAll="0"/>
    <pivotField showAll="0"/>
    <pivotField showAll="0"/>
    <pivotField showAll="0"/>
    <pivotField showAll="0"/>
    <pivotField showAll="0"/>
    <pivotField showAll="0"/>
    <pivotField showAll="0">
      <items count="6">
        <item x="0"/>
        <item x="4"/>
        <item x="3"/>
        <item x="1"/>
        <item x="2"/>
        <item t="default"/>
      </items>
    </pivotField>
    <pivotField showAll="0">
      <items count="3">
        <item x="0"/>
        <item x="1"/>
        <item t="default"/>
      </items>
    </pivotField>
    <pivotField showAll="0"/>
    <pivotField showAll="0">
      <items count="4">
        <item x="2"/>
        <item x="1"/>
        <item x="0"/>
        <item t="default"/>
      </items>
    </pivotField>
    <pivotField showAll="0"/>
  </pivotFields>
  <rowItems count="1">
    <i/>
  </rowItems>
  <colItems count="1">
    <i/>
  </colItems>
  <dataFields count="1">
    <dataField name="Sum of Sales Volum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7:B30" firstHeaderRow="1" firstDataRow="1" firstDataCol="1"/>
  <pivotFields count="18">
    <pivotField showAll="0"/>
    <pivotField showAll="0">
      <items count="4">
        <item x="1"/>
        <item x="0"/>
        <item x="2"/>
        <item t="default"/>
      </items>
    </pivotField>
    <pivotField axis="axisRow" showAll="0">
      <items count="3">
        <item x="1"/>
        <item x="0"/>
        <item t="default"/>
      </items>
    </pivotField>
    <pivotField showAll="0">
      <items count="2">
        <item x="0"/>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items count="6">
        <item x="0"/>
        <item x="4"/>
        <item x="3"/>
        <item x="1"/>
        <item x="2"/>
        <item t="default"/>
      </items>
    </pivotField>
    <pivotField showAll="0">
      <items count="3">
        <item x="0"/>
        <item x="1"/>
        <item t="default"/>
      </items>
    </pivotField>
    <pivotField showAll="0"/>
    <pivotField showAll="0">
      <items count="4">
        <item x="2"/>
        <item x="1"/>
        <item x="0"/>
        <item t="default"/>
      </items>
    </pivotField>
    <pivotField showAll="0"/>
  </pivotFields>
  <rowFields count="1">
    <field x="2"/>
  </rowFields>
  <rowItems count="3">
    <i>
      <x/>
    </i>
    <i>
      <x v="1"/>
    </i>
    <i t="grand">
      <x/>
    </i>
  </rowItems>
  <colItems count="1">
    <i/>
  </colItems>
  <dataFields count="1">
    <dataField name="Sum of Sales" fld="1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2:B38" firstHeaderRow="1" firstDataRow="1" firstDataCol="1"/>
  <pivotFields count="18">
    <pivotField showAll="0"/>
    <pivotField showAll="0">
      <items count="4">
        <item x="1"/>
        <item x="0"/>
        <item x="2"/>
        <item t="default"/>
      </items>
    </pivotField>
    <pivotField showAll="0">
      <items count="3">
        <item x="1"/>
        <item x="0"/>
        <item t="default"/>
      </items>
    </pivotField>
    <pivotField showAll="0"/>
    <pivotField showAll="0">
      <items count="3">
        <item x="1"/>
        <item x="0"/>
        <item t="default"/>
      </items>
    </pivotField>
    <pivotField dataField="1" showAll="0"/>
    <pivotField showAll="0"/>
    <pivotField showAll="0"/>
    <pivotField showAll="0"/>
    <pivotField showAll="0"/>
    <pivotField showAll="0"/>
    <pivotField showAll="0"/>
    <pivotField showAll="0"/>
    <pivotField axis="axisRow" showAll="0">
      <items count="6">
        <item x="0"/>
        <item x="4"/>
        <item x="3"/>
        <item x="1"/>
        <item x="2"/>
        <item t="default"/>
      </items>
    </pivotField>
    <pivotField showAll="0">
      <items count="3">
        <item x="0"/>
        <item x="1"/>
        <item t="default"/>
      </items>
    </pivotField>
    <pivotField showAll="0"/>
    <pivotField showAll="0">
      <items count="4">
        <item x="2"/>
        <item x="1"/>
        <item x="0"/>
        <item t="default"/>
      </items>
    </pivotField>
    <pivotField showAll="0"/>
  </pivotFields>
  <rowFields count="1">
    <field x="13"/>
  </rowFields>
  <rowItems count="6">
    <i>
      <x/>
    </i>
    <i>
      <x v="1"/>
    </i>
    <i>
      <x v="2"/>
    </i>
    <i>
      <x v="3"/>
    </i>
    <i>
      <x v="4"/>
    </i>
    <i t="grand">
      <x/>
    </i>
  </rowItems>
  <colItems count="1">
    <i/>
  </colItems>
  <dataFields count="1">
    <dataField name="Sum of Sales Volum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Position" sourceName="Product Position">
  <pivotTables>
    <pivotTable tabId="4" name="PivotTable9"/>
    <pivotTable tabId="4" name="PivotTable8"/>
    <pivotTable tabId="4" name="PivotTable3"/>
    <pivotTable tabId="4" name="PivotTable7"/>
    <pivotTable tabId="4" name="PivotTable2"/>
    <pivotTable tabId="4" name="PivotTable6"/>
    <pivotTable tabId="4" name="PivotTable5"/>
    <pivotTable tabId="4" name="PivotTable4"/>
    <pivotTable tabId="4" name="PivotTable1"/>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ction" sourceName="section">
  <pivotTables>
    <pivotTable tabId="4" name="PivotTable9"/>
    <pivotTable tabId="4" name="PivotTable8"/>
    <pivotTable tabId="4" name="PivotTable3"/>
    <pivotTable tabId="4" name="PivotTable7"/>
    <pivotTable tabId="4" name="PivotTable2"/>
    <pivotTable tabId="4" name="PivotTable6"/>
    <pivotTable tabId="4" name="PivotTable5"/>
    <pivotTable tabId="4" name="PivotTable4"/>
    <pivotTable tabId="4" name="PivotTable1"/>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ice_Range_Category" sourceName="Price Range Category">
  <pivotTables>
    <pivotTable tabId="4" name="PivotTable9"/>
    <pivotTable tabId="4" name="PivotTable8"/>
    <pivotTable tabId="4" name="PivotTable3"/>
    <pivotTable tabId="4" name="PivotTable7"/>
    <pivotTable tabId="4" name="PivotTable2"/>
    <pivotTable tabId="4" name="PivotTable6"/>
    <pivotTable tabId="4" name="PivotTable5"/>
    <pivotTable tabId="4" name="PivotTable4"/>
    <pivotTable tabId="4" name="PivotTable1"/>
  </pivotTables>
  <data>
    <tabular pivotCacheId="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lumn1" sourceName="Column1">
  <pivotTables>
    <pivotTable tabId="4" name="PivotTable1"/>
  </pivotTables>
  <data>
    <tabular pivotCacheId="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erms" sourceName="terms">
  <pivotTables>
    <pivotTable tabId="4" name="PivotTable9"/>
    <pivotTable tabId="4" name="PivotTable8"/>
    <pivotTable tabId="4" name="PivotTable3"/>
    <pivotTable tabId="4" name="PivotTable7"/>
    <pivotTable tabId="4" name="PivotTable2"/>
    <pivotTable tabId="4" name="PivotTable6"/>
    <pivotTable tabId="4" name="PivotTable5"/>
    <pivotTable tabId="4" name="PivotTable4"/>
    <pivotTable tabId="4" name="PivotTable1"/>
  </pivotTables>
  <data>
    <tabular pivotCacheId="1">
      <items count="5">
        <i x="0" s="1"/>
        <i x="4"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Position" cache="Slicer_Product_Position" caption="Product Position" style="SlicerStyleLight4" rowHeight="241300"/>
  <slicer name="section" cache="Slicer_section" caption="section" style="SlicerStyleLight4" rowHeight="241300"/>
  <slicer name="Price Range Category" cache="Slicer_Price_Range_Category" caption="Price Range Category" style="SlicerStyleLight4" rowHeight="241300"/>
  <slicer name="Product volume categories" cache="Slicer_Column1" caption="Product volume categories" style="SlicerStyleLight4" rowHeight="241300"/>
  <slicer name="terms" cache="Slicer_terms" caption="terms" style="SlicerStyleLight4" rowHeight="241300"/>
</slicers>
</file>

<file path=xl/tables/table1.xml><?xml version="1.0" encoding="utf-8"?>
<table xmlns="http://schemas.openxmlformats.org/spreadsheetml/2006/main" id="1" name="Table1" displayName="Table1" ref="A1:R253" totalsRowShown="0">
  <autoFilter ref="A1:R253"/>
  <sortState ref="A2:R253">
    <sortCondition descending="1" ref="M1:M253"/>
  </sortState>
  <tableColumns count="18">
    <tableColumn id="1" name="Product ID"/>
    <tableColumn id="2" name="Product Position"/>
    <tableColumn id="3" name="Promotion"/>
    <tableColumn id="4" name="Product Category"/>
    <tableColumn id="5" name="Seasonal"/>
    <tableColumn id="6" name="Sales Volume"/>
    <tableColumn id="8" name="url"/>
    <tableColumn id="9" name="sku(stock keeping unit)"/>
    <tableColumn id="10" name="name"/>
    <tableColumn id="11" name="description"/>
    <tableColumn id="12" name="price(USD)"/>
    <tableColumn id="13" name="currency"/>
    <tableColumn id="20" name="Sales" dataDxfId="22">
      <calculatedColumnFormula>Table1[[#This Row],[Sales Volume]]*Table1[[#This Row],[price(USD)]]</calculatedColumnFormula>
    </tableColumn>
    <tableColumn id="15" name="Categories"/>
    <tableColumn id="16" name="section"/>
    <tableColumn id="18" name="Product URL" dataDxfId="21">
      <calculatedColumnFormula>HYPERLINK(Table1[[#This Row],[url]],Table1[[#This Row],[name]])</calculatedColumnFormula>
    </tableColumn>
    <tableColumn id="21" name="Price Range Category" dataDxfId="20">
      <calculatedColumnFormula>IF(Table1[[#This Row],[price(USD)]]&gt;295.33,"Premimum",IF(Table1[[#This Row],[price(USD)]]&gt;151.66,"Mid Range","Budget"))</calculatedColumnFormula>
    </tableColumn>
    <tableColumn id="22" name="sales volume category" dataDxfId="19">
      <calculatedColumnFormula>IF(Table1[[#This Row],[Sales Volume]]&gt;2169,"Best Seller",IF(Table1[[#This Row],[Sales Volume]]&gt;1349,"Average","Slow seller"))</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zara.com/us/en/vintage-effect-leather-bomber-jacket-p02521300.html" TargetMode="External"/><Relationship Id="rId1" Type="http://schemas.openxmlformats.org/officeDocument/2006/relationships/hyperlink" Target="https://www.zara.com/us/en/plaid-tie-dye-overshirt-p01063313.html" TargetMode="Externa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7"/>
  <sheetViews>
    <sheetView tabSelected="1" zoomScale="90" zoomScaleNormal="90" workbookViewId="0">
      <selection activeCell="T6" sqref="T6"/>
    </sheetView>
  </sheetViews>
  <sheetFormatPr defaultColWidth="9" defaultRowHeight="15"/>
  <cols>
    <col min="1" max="1" width="10.42578125" customWidth="1"/>
    <col min="2" max="2" width="11.28515625" customWidth="1"/>
    <col min="3" max="3" width="6" customWidth="1"/>
    <col min="6" max="6" width="8" customWidth="1"/>
    <col min="8" max="12" width="8" customWidth="1"/>
    <col min="14" max="14" width="8" customWidth="1"/>
    <col min="16" max="19" width="8" customWidth="1"/>
    <col min="25" max="31" width="8" customWidth="1"/>
    <col min="33" max="38" width="8" customWidth="1"/>
    <col min="40" max="40" width="8" customWidth="1"/>
    <col min="42" max="43" width="8" customWidth="1"/>
    <col min="44" max="44" width="6" customWidth="1"/>
    <col min="45" max="51" width="8" customWidth="1"/>
    <col min="53" max="53" width="6" customWidth="1"/>
    <col min="54" max="54" width="8" customWidth="1"/>
    <col min="55" max="55" width="6" customWidth="1"/>
    <col min="56" max="63" width="8" customWidth="1"/>
    <col min="64" max="64" width="6" customWidth="1"/>
    <col min="65" max="66" width="8" customWidth="1"/>
    <col min="67" max="67" width="6" customWidth="1"/>
    <col min="68" max="72" width="8" customWidth="1"/>
    <col min="73" max="73" width="6" customWidth="1"/>
    <col min="74" max="82" width="8" customWidth="1"/>
    <col min="84" max="84" width="8" customWidth="1"/>
    <col min="85" max="85" width="6" customWidth="1"/>
    <col min="86" max="88" width="8" customWidth="1"/>
    <col min="89" max="90" width="6" customWidth="1"/>
    <col min="91" max="92" width="8" customWidth="1"/>
    <col min="95" max="95" width="7" customWidth="1"/>
    <col min="100" max="100" width="7" customWidth="1"/>
    <col min="104" max="104" width="7" customWidth="1"/>
    <col min="106" max="106" width="7" customWidth="1"/>
    <col min="108" max="111" width="7" customWidth="1"/>
    <col min="118" max="118" width="7" customWidth="1"/>
    <col min="125" max="125" width="7" customWidth="1"/>
    <col min="131" max="131" width="7" customWidth="1"/>
    <col min="136" max="136" width="7" customWidth="1"/>
    <col min="141" max="141" width="7" customWidth="1"/>
    <col min="146" max="146" width="7" customWidth="1"/>
    <col min="150" max="150" width="7" customWidth="1"/>
    <col min="152" max="152" width="7" customWidth="1"/>
    <col min="154" max="154" width="7" customWidth="1"/>
    <col min="157" max="157" width="7" customWidth="1"/>
    <col min="160" max="160" width="7" customWidth="1"/>
    <col min="163" max="163" width="7" customWidth="1"/>
    <col min="167" max="167" width="7" customWidth="1"/>
    <col min="169" max="169" width="7" customWidth="1"/>
    <col min="173" max="174" width="7" customWidth="1"/>
    <col min="176" max="176" width="7" customWidth="1"/>
    <col min="179" max="181" width="7" customWidth="1"/>
    <col min="184" max="185" width="7" customWidth="1"/>
    <col min="190" max="193" width="7" customWidth="1"/>
    <col min="198" max="198" width="7" customWidth="1"/>
    <col min="205" max="206" width="7" customWidth="1"/>
    <col min="208" max="208" width="7" customWidth="1"/>
    <col min="212" max="212" width="7" customWidth="1"/>
    <col min="215" max="215" width="7" customWidth="1"/>
    <col min="218" max="252" width="7" customWidth="1"/>
    <col min="253" max="253" width="11.28515625" bestFit="1" customWidth="1"/>
  </cols>
  <sheetData>
    <row r="1" spans="1:25" ht="15" customHeight="1">
      <c r="A1" s="27" t="s">
        <v>1185</v>
      </c>
      <c r="B1" s="27"/>
      <c r="C1" s="27"/>
      <c r="D1" s="27"/>
      <c r="E1" s="27"/>
      <c r="F1" s="27"/>
      <c r="G1" s="27"/>
      <c r="H1" s="27"/>
      <c r="I1" s="27"/>
      <c r="J1" s="27"/>
      <c r="K1" s="27"/>
      <c r="L1" s="27"/>
      <c r="M1" s="27"/>
      <c r="N1" s="27"/>
      <c r="O1" s="27"/>
      <c r="P1" s="27"/>
      <c r="Q1" s="27"/>
      <c r="R1" s="27"/>
      <c r="S1" s="27"/>
      <c r="T1" s="27"/>
      <c r="U1" s="27"/>
      <c r="V1" s="27"/>
      <c r="W1" s="27"/>
      <c r="X1" s="27"/>
      <c r="Y1" s="27"/>
    </row>
    <row r="2" spans="1:25">
      <c r="A2" s="27"/>
      <c r="B2" s="27"/>
      <c r="C2" s="27"/>
      <c r="D2" s="27"/>
      <c r="E2" s="27"/>
      <c r="F2" s="27"/>
      <c r="G2" s="27"/>
      <c r="H2" s="27"/>
      <c r="I2" s="27"/>
      <c r="J2" s="27"/>
      <c r="K2" s="27"/>
      <c r="L2" s="27"/>
      <c r="M2" s="27"/>
      <c r="N2" s="27"/>
      <c r="O2" s="27"/>
      <c r="P2" s="27"/>
      <c r="Q2" s="27"/>
      <c r="R2" s="27"/>
      <c r="S2" s="27"/>
      <c r="T2" s="27"/>
      <c r="U2" s="27"/>
      <c r="V2" s="27"/>
      <c r="W2" s="27"/>
      <c r="X2" s="27"/>
      <c r="Y2" s="27"/>
    </row>
    <row r="3" spans="1:25">
      <c r="A3" s="28" t="s">
        <v>1159</v>
      </c>
      <c r="B3" s="28"/>
      <c r="C3" s="28"/>
      <c r="D3" s="28"/>
      <c r="E3" s="28"/>
      <c r="F3" s="28"/>
      <c r="G3" s="28"/>
      <c r="H3" s="28"/>
      <c r="I3" s="28"/>
      <c r="J3" s="28"/>
      <c r="K3" s="28"/>
      <c r="L3" s="28"/>
      <c r="M3" s="28"/>
      <c r="N3" s="28"/>
      <c r="O3" s="28"/>
      <c r="P3" s="28"/>
      <c r="Q3" s="28"/>
      <c r="R3" s="28"/>
      <c r="S3" s="28"/>
      <c r="T3" s="28"/>
      <c r="U3" s="28"/>
      <c r="V3" s="28"/>
      <c r="W3" s="28"/>
      <c r="X3" s="28"/>
      <c r="Y3" s="28"/>
    </row>
    <row r="4" spans="1:25" ht="9.75" customHeight="1">
      <c r="A4" s="29"/>
      <c r="B4" s="29"/>
      <c r="C4" s="29"/>
      <c r="D4" s="29"/>
      <c r="E4" s="29"/>
      <c r="F4" s="29"/>
      <c r="G4" s="29"/>
      <c r="H4" s="29"/>
      <c r="I4" s="29"/>
      <c r="J4" s="29"/>
      <c r="K4" s="29"/>
      <c r="L4" s="29"/>
      <c r="M4" s="29"/>
      <c r="N4" s="29"/>
      <c r="O4" s="29"/>
      <c r="P4" s="29"/>
      <c r="Q4" s="29"/>
      <c r="R4" s="29"/>
      <c r="S4" s="29"/>
      <c r="T4" s="29"/>
      <c r="U4" s="29"/>
      <c r="V4" s="29"/>
      <c r="W4" s="29"/>
      <c r="X4" s="29"/>
      <c r="Y4" s="29"/>
    </row>
    <row r="5" spans="1:25" ht="26.25" customHeight="1">
      <c r="A5" s="29"/>
      <c r="B5" s="38" t="s">
        <v>1160</v>
      </c>
      <c r="C5" s="39"/>
      <c r="D5" s="30"/>
      <c r="E5" s="13" t="s">
        <v>1161</v>
      </c>
      <c r="F5" s="14"/>
      <c r="G5" s="31"/>
      <c r="H5" s="13" t="s">
        <v>1162</v>
      </c>
      <c r="I5" s="14"/>
      <c r="J5" s="31"/>
      <c r="K5" s="13" t="s">
        <v>1163</v>
      </c>
      <c r="L5" s="14"/>
      <c r="M5" s="31"/>
      <c r="N5" s="13" t="s">
        <v>1171</v>
      </c>
      <c r="O5" s="14"/>
      <c r="P5" s="31"/>
      <c r="Q5" s="13" t="s">
        <v>1169</v>
      </c>
      <c r="R5" s="14"/>
      <c r="S5" s="32"/>
      <c r="T5" s="29"/>
      <c r="U5" s="29"/>
      <c r="V5" s="29"/>
      <c r="W5" s="29"/>
      <c r="X5" s="29"/>
      <c r="Y5" s="29"/>
    </row>
    <row r="6" spans="1:25" s="8" customFormat="1" ht="17.25" customHeight="1">
      <c r="A6" s="30"/>
      <c r="B6" s="40">
        <f>GETPIVOTDATA("Sales",'Pivot tables'!$A$1)</f>
        <v>38988476.479999974</v>
      </c>
      <c r="C6" s="41"/>
      <c r="D6" s="33"/>
      <c r="E6" s="23">
        <f>GETPIVOTDATA("Sales Volume",'Pivot tables'!$A$4)</f>
        <v>459573</v>
      </c>
      <c r="F6" s="24"/>
      <c r="G6" s="34"/>
      <c r="H6" s="9">
        <f>GETPIVOTDATA("price(USD)",'Pivot tables'!$A$7)</f>
        <v>86.252539682540089</v>
      </c>
      <c r="I6" s="10"/>
      <c r="J6" s="33"/>
      <c r="K6" s="15">
        <f>GETPIVOTDATA("Product ID",'Pivot tables'!$A$10)</f>
        <v>252</v>
      </c>
      <c r="L6" s="16"/>
      <c r="M6" s="33"/>
      <c r="N6" s="19" t="s">
        <v>516</v>
      </c>
      <c r="O6" s="20"/>
      <c r="P6" s="33"/>
      <c r="Q6" s="19" t="s">
        <v>1170</v>
      </c>
      <c r="R6" s="20"/>
      <c r="S6" s="35"/>
      <c r="T6" s="36"/>
      <c r="U6" s="36"/>
      <c r="V6" s="36"/>
      <c r="W6" s="36"/>
      <c r="X6" s="36"/>
      <c r="Y6" s="30"/>
    </row>
    <row r="7" spans="1:25" s="8" customFormat="1" ht="23.25" customHeight="1">
      <c r="A7" s="30"/>
      <c r="B7" s="42"/>
      <c r="C7" s="43"/>
      <c r="D7" s="33"/>
      <c r="E7" s="25"/>
      <c r="F7" s="26"/>
      <c r="G7" s="33"/>
      <c r="H7" s="11"/>
      <c r="I7" s="12"/>
      <c r="J7" s="33"/>
      <c r="K7" s="17"/>
      <c r="L7" s="18"/>
      <c r="M7" s="33"/>
      <c r="N7" s="21"/>
      <c r="O7" s="22"/>
      <c r="P7" s="33"/>
      <c r="Q7" s="21"/>
      <c r="R7" s="22"/>
      <c r="S7" s="35"/>
      <c r="T7" s="36"/>
      <c r="U7" s="36"/>
      <c r="V7" s="36"/>
      <c r="W7" s="36"/>
      <c r="X7" s="36"/>
      <c r="Y7" s="30"/>
    </row>
    <row r="8" spans="1:25" ht="14.25" customHeight="1">
      <c r="A8" s="29"/>
      <c r="B8" s="29"/>
      <c r="C8" s="29"/>
      <c r="D8" s="29"/>
      <c r="E8" s="29"/>
      <c r="F8" s="29"/>
      <c r="G8" s="37"/>
      <c r="H8" s="29"/>
      <c r="I8" s="29"/>
      <c r="J8" s="29"/>
      <c r="K8" s="29"/>
      <c r="L8" s="29"/>
      <c r="M8" s="29"/>
      <c r="N8" s="29"/>
      <c r="O8" s="29"/>
      <c r="P8" s="29"/>
      <c r="Q8" s="29"/>
      <c r="R8" s="29"/>
      <c r="S8" s="29"/>
      <c r="T8" s="29"/>
      <c r="U8" s="29"/>
      <c r="V8" s="29"/>
      <c r="W8" s="29"/>
      <c r="X8" s="29"/>
      <c r="Y8" s="29"/>
    </row>
    <row r="9" spans="1:25">
      <c r="A9" s="29"/>
      <c r="B9" s="29"/>
      <c r="C9" s="29"/>
      <c r="D9" s="29"/>
      <c r="E9" s="29"/>
      <c r="F9" s="29"/>
      <c r="G9" s="29"/>
      <c r="H9" s="29"/>
      <c r="I9" s="29"/>
      <c r="J9" s="29"/>
      <c r="K9" s="29"/>
      <c r="L9" s="29"/>
      <c r="M9" s="29"/>
      <c r="N9" s="29"/>
      <c r="O9" s="29"/>
      <c r="P9" s="29"/>
      <c r="Q9" s="29"/>
      <c r="R9" s="29"/>
      <c r="S9" s="29"/>
      <c r="T9" s="29"/>
      <c r="U9" s="29"/>
      <c r="V9" s="29"/>
      <c r="W9" s="29"/>
      <c r="X9" s="29"/>
      <c r="Y9" s="29"/>
    </row>
    <row r="10" spans="1:25">
      <c r="A10" s="29"/>
      <c r="B10" s="29"/>
      <c r="C10" s="29"/>
      <c r="D10" s="29"/>
      <c r="E10" s="29"/>
      <c r="F10" s="29"/>
      <c r="G10" s="29"/>
      <c r="H10" s="29"/>
      <c r="I10" s="29"/>
      <c r="J10" s="29"/>
      <c r="K10" s="29"/>
      <c r="L10" s="29"/>
      <c r="M10" s="29"/>
      <c r="N10" s="29"/>
      <c r="O10" s="29"/>
      <c r="P10" s="29"/>
      <c r="Q10" s="29"/>
      <c r="R10" s="29"/>
      <c r="S10" s="29"/>
      <c r="T10" s="29"/>
      <c r="U10" s="29"/>
      <c r="V10" s="29"/>
      <c r="W10" s="29"/>
      <c r="X10" s="29"/>
      <c r="Y10" s="29"/>
    </row>
    <row r="11" spans="1:25">
      <c r="A11" s="29"/>
      <c r="B11" s="29"/>
      <c r="C11" s="29"/>
      <c r="D11" s="29"/>
      <c r="E11" s="29"/>
      <c r="F11" s="29"/>
      <c r="G11" s="29"/>
      <c r="H11" s="29"/>
      <c r="I11" s="29"/>
      <c r="J11" s="29"/>
      <c r="K11" s="29"/>
      <c r="L11" s="29"/>
      <c r="M11" s="29"/>
      <c r="N11" s="29"/>
      <c r="O11" s="32"/>
      <c r="P11" s="29"/>
      <c r="Q11" s="29"/>
      <c r="R11" s="29"/>
      <c r="S11" s="29"/>
      <c r="T11" s="29"/>
      <c r="U11" s="29"/>
      <c r="V11" s="29"/>
      <c r="W11" s="29"/>
      <c r="X11" s="29"/>
      <c r="Y11" s="29"/>
    </row>
    <row r="12" spans="1:25">
      <c r="A12" s="29"/>
      <c r="B12" s="29"/>
      <c r="C12" s="29"/>
      <c r="D12" s="29"/>
      <c r="E12" s="29"/>
      <c r="F12" s="29"/>
      <c r="G12" s="29"/>
      <c r="H12" s="29"/>
      <c r="I12" s="29"/>
      <c r="J12" s="29"/>
      <c r="K12" s="29"/>
      <c r="L12" s="29"/>
      <c r="M12" s="29"/>
      <c r="N12" s="29"/>
      <c r="O12" s="29"/>
      <c r="P12" s="29"/>
      <c r="Q12" s="29"/>
      <c r="R12" s="29"/>
      <c r="S12" s="29"/>
      <c r="T12" s="29"/>
      <c r="U12" s="29"/>
      <c r="V12" s="29"/>
      <c r="W12" s="29"/>
      <c r="X12" s="29"/>
      <c r="Y12" s="29"/>
    </row>
    <row r="13" spans="1:25">
      <c r="A13" s="29"/>
      <c r="B13" s="29"/>
      <c r="C13" s="29"/>
      <c r="D13" s="29"/>
      <c r="E13" s="29"/>
      <c r="F13" s="29"/>
      <c r="G13" s="29"/>
      <c r="H13" s="29"/>
      <c r="I13" s="29"/>
      <c r="J13" s="29"/>
      <c r="K13" s="29"/>
      <c r="L13" s="29"/>
      <c r="M13" s="29"/>
      <c r="N13" s="29"/>
      <c r="O13" s="29"/>
      <c r="P13" s="29"/>
      <c r="Q13" s="29"/>
      <c r="R13" s="29"/>
      <c r="S13" s="29"/>
      <c r="T13" s="29"/>
      <c r="U13" s="29"/>
      <c r="V13" s="29"/>
      <c r="W13" s="29"/>
      <c r="X13" s="29"/>
      <c r="Y13" s="29"/>
    </row>
    <row r="14" spans="1:25">
      <c r="A14" s="29"/>
      <c r="B14" s="29"/>
      <c r="C14" s="29"/>
      <c r="D14" s="29"/>
      <c r="E14" s="29"/>
      <c r="F14" s="29"/>
      <c r="G14" s="29"/>
      <c r="H14" s="29"/>
      <c r="I14" s="29"/>
      <c r="J14" s="29"/>
      <c r="K14" s="29"/>
      <c r="L14" s="29"/>
      <c r="M14" s="29"/>
      <c r="N14" s="29"/>
      <c r="O14" s="29"/>
      <c r="P14" s="29"/>
      <c r="Q14" s="29"/>
      <c r="R14" s="29"/>
      <c r="S14" s="29"/>
      <c r="T14" s="29"/>
      <c r="U14" s="29"/>
      <c r="V14" s="29"/>
      <c r="W14" s="29"/>
      <c r="X14" s="29"/>
      <c r="Y14" s="29"/>
    </row>
    <row r="15" spans="1:25">
      <c r="A15" s="29"/>
      <c r="B15" s="29"/>
      <c r="C15" s="29"/>
      <c r="D15" s="29"/>
      <c r="E15" s="29"/>
      <c r="F15" s="29"/>
      <c r="G15" s="29"/>
      <c r="H15" s="29"/>
      <c r="I15" s="29"/>
      <c r="J15" s="29"/>
      <c r="K15" s="29"/>
      <c r="L15" s="29"/>
      <c r="M15" s="29"/>
      <c r="N15" s="29"/>
      <c r="O15" s="29"/>
      <c r="P15" s="29"/>
      <c r="Q15" s="29"/>
      <c r="R15" s="29"/>
      <c r="S15" s="29"/>
      <c r="T15" s="29"/>
      <c r="U15" s="29"/>
      <c r="V15" s="29"/>
      <c r="W15" s="29"/>
      <c r="X15" s="29"/>
      <c r="Y15" s="29"/>
    </row>
    <row r="16" spans="1:25">
      <c r="A16" s="29"/>
      <c r="B16" s="29"/>
      <c r="C16" s="29"/>
      <c r="D16" s="29"/>
      <c r="E16" s="29"/>
      <c r="F16" s="29"/>
      <c r="G16" s="29"/>
      <c r="H16" s="29"/>
      <c r="I16" s="29"/>
      <c r="J16" s="29"/>
      <c r="K16" s="29"/>
      <c r="L16" s="29"/>
      <c r="M16" s="29"/>
      <c r="N16" s="29"/>
      <c r="O16" s="29"/>
      <c r="P16" s="29"/>
      <c r="Q16" s="29"/>
      <c r="R16" s="29"/>
      <c r="S16" s="29"/>
      <c r="T16" s="29"/>
      <c r="U16" s="29"/>
      <c r="V16" s="29"/>
      <c r="W16" s="29"/>
      <c r="X16" s="29"/>
      <c r="Y16" s="29"/>
    </row>
    <row r="17" spans="1:25">
      <c r="A17" s="29"/>
      <c r="B17" s="29"/>
      <c r="C17" s="29"/>
      <c r="D17" s="29"/>
      <c r="E17" s="29"/>
      <c r="F17" s="29"/>
      <c r="G17" s="29"/>
      <c r="H17" s="29"/>
      <c r="I17" s="29"/>
      <c r="J17" s="29"/>
      <c r="K17" s="29"/>
      <c r="L17" s="29"/>
      <c r="M17" s="29"/>
      <c r="N17" s="29"/>
      <c r="O17" s="29"/>
      <c r="P17" s="29"/>
      <c r="Q17" s="29"/>
      <c r="R17" s="29"/>
      <c r="S17" s="29"/>
      <c r="T17" s="29"/>
      <c r="U17" s="29"/>
      <c r="V17" s="29"/>
      <c r="W17" s="29"/>
      <c r="X17" s="29"/>
      <c r="Y17" s="29"/>
    </row>
    <row r="18" spans="1:25">
      <c r="A18" s="29"/>
      <c r="B18" s="29"/>
      <c r="C18" s="29"/>
      <c r="D18" s="29"/>
      <c r="E18" s="29"/>
      <c r="F18" s="29"/>
      <c r="G18" s="29"/>
      <c r="H18" s="29"/>
      <c r="I18" s="29"/>
      <c r="J18" s="29"/>
      <c r="K18" s="29"/>
      <c r="L18" s="29"/>
      <c r="M18" s="29"/>
      <c r="N18" s="29"/>
      <c r="O18" s="29"/>
      <c r="P18" s="29"/>
      <c r="Q18" s="29"/>
      <c r="R18" s="29"/>
      <c r="S18" s="29"/>
      <c r="T18" s="29"/>
      <c r="U18" s="29"/>
      <c r="V18" s="29"/>
      <c r="W18" s="29"/>
      <c r="X18" s="29"/>
      <c r="Y18" s="29"/>
    </row>
    <row r="19" spans="1:25">
      <c r="A19" s="29"/>
      <c r="B19" s="29"/>
      <c r="C19" s="29"/>
      <c r="D19" s="29"/>
      <c r="E19" s="29"/>
      <c r="F19" s="29"/>
      <c r="G19" s="29"/>
      <c r="H19" s="29"/>
      <c r="I19" s="29"/>
      <c r="J19" s="29"/>
      <c r="K19" s="29"/>
      <c r="L19" s="29"/>
      <c r="M19" s="29"/>
      <c r="N19" s="29"/>
      <c r="O19" s="29"/>
      <c r="P19" s="29"/>
      <c r="Q19" s="29"/>
      <c r="R19" s="29"/>
      <c r="S19" s="29"/>
      <c r="T19" s="29"/>
      <c r="U19" s="29"/>
      <c r="V19" s="29"/>
      <c r="W19" s="29"/>
      <c r="X19" s="29"/>
      <c r="Y19" s="29"/>
    </row>
    <row r="20" spans="1:25">
      <c r="A20" s="29"/>
      <c r="B20" s="29"/>
      <c r="C20" s="29"/>
      <c r="D20" s="29"/>
      <c r="E20" s="29"/>
      <c r="F20" s="29"/>
      <c r="G20" s="29"/>
      <c r="H20" s="29"/>
      <c r="I20" s="29"/>
      <c r="J20" s="29"/>
      <c r="K20" s="29"/>
      <c r="L20" s="29"/>
      <c r="M20" s="29"/>
      <c r="N20" s="29"/>
      <c r="O20" s="29"/>
      <c r="P20" s="29"/>
      <c r="Q20" s="29"/>
      <c r="R20" s="29"/>
      <c r="S20" s="29"/>
      <c r="T20" s="29"/>
      <c r="U20" s="29"/>
      <c r="V20" s="29"/>
      <c r="W20" s="29"/>
      <c r="X20" s="29"/>
      <c r="Y20" s="29"/>
    </row>
    <row r="21" spans="1:25">
      <c r="A21" s="29"/>
      <c r="B21" s="29"/>
      <c r="C21" s="29"/>
      <c r="D21" s="29"/>
      <c r="E21" s="29"/>
      <c r="F21" s="29"/>
      <c r="G21" s="29"/>
      <c r="H21" s="29"/>
      <c r="I21" s="29"/>
      <c r="J21" s="29"/>
      <c r="K21" s="29"/>
      <c r="L21" s="29"/>
      <c r="M21" s="29"/>
      <c r="N21" s="29"/>
      <c r="O21" s="29"/>
      <c r="P21" s="29"/>
      <c r="Q21" s="29"/>
      <c r="R21" s="29"/>
      <c r="S21" s="29"/>
      <c r="T21" s="29"/>
      <c r="U21" s="29"/>
      <c r="V21" s="29"/>
      <c r="W21" s="29"/>
      <c r="X21" s="29"/>
      <c r="Y21" s="29"/>
    </row>
    <row r="22" spans="1:25">
      <c r="A22" s="29"/>
      <c r="B22" s="29"/>
      <c r="C22" s="29"/>
      <c r="D22" s="29"/>
      <c r="E22" s="29"/>
      <c r="F22" s="29"/>
      <c r="G22" s="29"/>
      <c r="H22" s="29"/>
      <c r="I22" s="29"/>
      <c r="J22" s="29"/>
      <c r="K22" s="29"/>
      <c r="L22" s="29"/>
      <c r="M22" s="29"/>
      <c r="N22" s="29"/>
      <c r="O22" s="29"/>
      <c r="P22" s="29"/>
      <c r="Q22" s="29"/>
      <c r="R22" s="29"/>
      <c r="S22" s="29"/>
      <c r="T22" s="29"/>
      <c r="U22" s="29"/>
      <c r="V22" s="29"/>
      <c r="W22" s="29"/>
      <c r="X22" s="29"/>
      <c r="Y22" s="29"/>
    </row>
    <row r="23" spans="1:25">
      <c r="A23" s="29"/>
      <c r="B23" s="29"/>
      <c r="C23" s="29"/>
      <c r="D23" s="29"/>
      <c r="E23" s="29"/>
      <c r="F23" s="29"/>
      <c r="G23" s="29"/>
      <c r="H23" s="29"/>
      <c r="I23" s="29"/>
      <c r="J23" s="29"/>
      <c r="K23" s="29"/>
      <c r="L23" s="29"/>
      <c r="M23" s="29"/>
      <c r="N23" s="29"/>
      <c r="O23" s="29"/>
      <c r="P23" s="29"/>
      <c r="Q23" s="29"/>
      <c r="R23" s="29"/>
      <c r="S23" s="29"/>
      <c r="T23" s="29"/>
      <c r="U23" s="29"/>
      <c r="V23" s="29"/>
      <c r="W23" s="29"/>
      <c r="X23" s="29"/>
      <c r="Y23" s="29"/>
    </row>
    <row r="24" spans="1:25">
      <c r="A24" s="29"/>
      <c r="B24" s="29"/>
      <c r="C24" s="29"/>
      <c r="D24" s="29"/>
      <c r="E24" s="29"/>
      <c r="F24" s="29"/>
      <c r="G24" s="29"/>
      <c r="H24" s="29"/>
      <c r="I24" s="29"/>
      <c r="J24" s="29"/>
      <c r="K24" s="29"/>
      <c r="L24" s="29"/>
      <c r="M24" s="29"/>
      <c r="N24" s="29"/>
      <c r="O24" s="29"/>
      <c r="P24" s="29"/>
      <c r="Q24" s="29"/>
      <c r="R24" s="29"/>
      <c r="S24" s="29"/>
      <c r="T24" s="29"/>
      <c r="U24" s="29"/>
      <c r="V24" s="29"/>
      <c r="W24" s="29"/>
      <c r="X24" s="29"/>
      <c r="Y24" s="29"/>
    </row>
    <row r="25" spans="1:25">
      <c r="A25" s="29"/>
      <c r="B25" s="29"/>
      <c r="C25" s="29"/>
      <c r="D25" s="29"/>
      <c r="E25" s="29"/>
      <c r="F25" s="29"/>
      <c r="G25" s="29"/>
      <c r="H25" s="29"/>
      <c r="I25" s="29"/>
      <c r="J25" s="29"/>
      <c r="K25" s="29"/>
      <c r="L25" s="29"/>
      <c r="M25" s="29"/>
      <c r="N25" s="29"/>
      <c r="O25" s="29"/>
      <c r="P25" s="29"/>
      <c r="Q25" s="29"/>
      <c r="R25" s="29"/>
      <c r="S25" s="29"/>
      <c r="T25" s="29"/>
      <c r="U25" s="29"/>
      <c r="V25" s="29"/>
      <c r="W25" s="29"/>
      <c r="X25" s="29"/>
      <c r="Y25" s="29"/>
    </row>
    <row r="26" spans="1:25">
      <c r="A26" s="29"/>
      <c r="B26" s="29"/>
      <c r="C26" s="29"/>
      <c r="D26" s="29"/>
      <c r="E26" s="29"/>
      <c r="F26" s="29"/>
      <c r="G26" s="29"/>
      <c r="H26" s="29"/>
      <c r="I26" s="29"/>
      <c r="J26" s="29"/>
      <c r="K26" s="29"/>
      <c r="L26" s="29"/>
      <c r="M26" s="29"/>
      <c r="N26" s="29"/>
      <c r="O26" s="29"/>
      <c r="P26" s="29"/>
      <c r="Q26" s="29"/>
      <c r="R26" s="29"/>
      <c r="S26" s="29"/>
      <c r="T26" s="29"/>
      <c r="U26" s="29"/>
      <c r="V26" s="29"/>
      <c r="W26" s="29"/>
      <c r="X26" s="29"/>
      <c r="Y26" s="29"/>
    </row>
    <row r="27" spans="1:25">
      <c r="A27" s="29"/>
      <c r="B27" s="29"/>
      <c r="C27" s="29"/>
      <c r="D27" s="29"/>
      <c r="E27" s="29"/>
      <c r="F27" s="29"/>
      <c r="G27" s="29"/>
      <c r="H27" s="29"/>
      <c r="I27" s="29"/>
      <c r="J27" s="29"/>
      <c r="K27" s="29"/>
      <c r="L27" s="29"/>
      <c r="M27" s="29"/>
      <c r="N27" s="29"/>
      <c r="O27" s="29"/>
      <c r="P27" s="29"/>
      <c r="Q27" s="29"/>
      <c r="R27" s="29"/>
      <c r="S27" s="29"/>
      <c r="T27" s="29"/>
      <c r="U27" s="29"/>
      <c r="V27" s="29"/>
      <c r="W27" s="29"/>
      <c r="X27" s="29"/>
      <c r="Y27" s="29"/>
    </row>
    <row r="28" spans="1:25">
      <c r="A28" s="29"/>
      <c r="B28" s="29"/>
      <c r="C28" s="29"/>
      <c r="D28" s="29"/>
      <c r="E28" s="29"/>
      <c r="F28" s="29"/>
      <c r="G28" s="29"/>
      <c r="H28" s="29"/>
      <c r="I28" s="29"/>
      <c r="J28" s="29"/>
      <c r="K28" s="29"/>
      <c r="L28" s="29"/>
      <c r="M28" s="29"/>
      <c r="N28" s="29"/>
      <c r="O28" s="29"/>
      <c r="P28" s="29"/>
      <c r="Q28" s="29"/>
      <c r="R28" s="29"/>
      <c r="S28" s="29"/>
      <c r="T28" s="29"/>
      <c r="U28" s="29"/>
      <c r="V28" s="29"/>
      <c r="W28" s="29"/>
      <c r="X28" s="29"/>
      <c r="Y28" s="29"/>
    </row>
    <row r="29" spans="1:25">
      <c r="A29" s="29"/>
      <c r="B29" s="29"/>
      <c r="C29" s="29"/>
      <c r="D29" s="29"/>
      <c r="E29" s="29"/>
      <c r="F29" s="29"/>
      <c r="G29" s="29"/>
      <c r="H29" s="29"/>
      <c r="I29" s="29"/>
      <c r="J29" s="29"/>
      <c r="K29" s="29"/>
      <c r="L29" s="29"/>
      <c r="M29" s="29"/>
      <c r="N29" s="29"/>
      <c r="O29" s="29"/>
      <c r="P29" s="29"/>
      <c r="Q29" s="29"/>
      <c r="R29" s="29"/>
      <c r="S29" s="29"/>
      <c r="T29" s="29"/>
      <c r="U29" s="29"/>
      <c r="V29" s="29"/>
      <c r="W29" s="29"/>
      <c r="X29" s="29"/>
      <c r="Y29" s="29"/>
    </row>
    <row r="30" spans="1:25">
      <c r="A30" s="29"/>
      <c r="B30" s="29"/>
      <c r="C30" s="29"/>
      <c r="D30" s="29"/>
      <c r="E30" s="29"/>
      <c r="F30" s="29"/>
      <c r="G30" s="29"/>
      <c r="H30" s="29"/>
      <c r="I30" s="29"/>
      <c r="J30" s="29"/>
      <c r="K30" s="29"/>
      <c r="L30" s="29"/>
      <c r="M30" s="29"/>
      <c r="N30" s="29"/>
      <c r="O30" s="29"/>
      <c r="P30" s="29"/>
      <c r="Q30" s="29"/>
      <c r="R30" s="29"/>
      <c r="S30" s="29"/>
      <c r="T30" s="29"/>
      <c r="U30" s="29"/>
      <c r="V30" s="29"/>
      <c r="W30" s="29"/>
      <c r="X30" s="29"/>
      <c r="Y30" s="29"/>
    </row>
    <row r="31" spans="1:25">
      <c r="A31" s="32"/>
      <c r="B31" s="32"/>
      <c r="C31" s="32"/>
      <c r="D31" s="32"/>
      <c r="E31" s="32"/>
      <c r="F31" s="32"/>
      <c r="G31" s="32"/>
      <c r="H31" s="32"/>
      <c r="I31" s="32"/>
      <c r="J31" s="32"/>
      <c r="K31" s="32"/>
      <c r="L31" s="32"/>
      <c r="M31" s="32"/>
      <c r="N31" s="32"/>
      <c r="O31" s="32"/>
      <c r="P31" s="32"/>
      <c r="Q31" s="32"/>
      <c r="R31" s="32"/>
      <c r="S31" s="32"/>
      <c r="T31" s="32"/>
      <c r="U31" s="32"/>
      <c r="V31" s="32"/>
      <c r="W31" s="32"/>
      <c r="X31" s="32"/>
      <c r="Y31" s="32"/>
    </row>
    <row r="32" spans="1:25">
      <c r="A32" s="32"/>
      <c r="B32" s="32"/>
      <c r="C32" s="32"/>
      <c r="D32" s="32"/>
      <c r="E32" s="32"/>
      <c r="F32" s="32"/>
      <c r="G32" s="32"/>
      <c r="H32" s="32"/>
      <c r="I32" s="32"/>
      <c r="J32" s="32"/>
      <c r="K32" s="32"/>
      <c r="L32" s="32"/>
      <c r="M32" s="32"/>
      <c r="N32" s="32"/>
      <c r="O32" s="32"/>
      <c r="P32" s="32"/>
      <c r="Q32" s="32"/>
      <c r="R32" s="32"/>
      <c r="S32" s="32"/>
      <c r="T32" s="32"/>
      <c r="U32" s="32"/>
      <c r="V32" s="32"/>
      <c r="W32" s="32"/>
      <c r="X32" s="32"/>
      <c r="Y32" s="32"/>
    </row>
    <row r="33" spans="1:25">
      <c r="A33" s="32"/>
      <c r="B33" s="32"/>
      <c r="C33" s="32"/>
      <c r="D33" s="32"/>
      <c r="E33" s="32"/>
      <c r="F33" s="32"/>
      <c r="G33" s="32"/>
      <c r="H33" s="32"/>
      <c r="I33" s="32"/>
      <c r="J33" s="32"/>
      <c r="K33" s="32"/>
      <c r="L33" s="32"/>
      <c r="M33" s="32"/>
      <c r="N33" s="32"/>
      <c r="O33" s="32"/>
      <c r="P33" s="32"/>
      <c r="Q33" s="32"/>
      <c r="R33" s="32"/>
      <c r="S33" s="32"/>
      <c r="T33" s="32"/>
      <c r="U33" s="32"/>
      <c r="V33" s="32"/>
      <c r="W33" s="32"/>
      <c r="X33" s="32"/>
      <c r="Y33" s="32"/>
    </row>
    <row r="34" spans="1:25">
      <c r="A34" s="32"/>
      <c r="B34" s="32"/>
      <c r="C34" s="32"/>
      <c r="D34" s="32"/>
      <c r="E34" s="32"/>
      <c r="F34" s="32"/>
      <c r="G34" s="32"/>
      <c r="H34" s="32"/>
      <c r="I34" s="32"/>
      <c r="J34" s="32"/>
      <c r="K34" s="32"/>
      <c r="L34" s="32"/>
      <c r="M34" s="32"/>
      <c r="N34" s="32"/>
      <c r="O34" s="32"/>
      <c r="P34" s="32"/>
      <c r="Q34" s="32"/>
      <c r="R34" s="32"/>
      <c r="S34" s="32"/>
      <c r="T34" s="32"/>
      <c r="U34" s="32"/>
      <c r="V34" s="32"/>
      <c r="W34" s="32"/>
      <c r="X34" s="32"/>
      <c r="Y34" s="32"/>
    </row>
    <row r="35" spans="1:25">
      <c r="A35" s="32"/>
      <c r="B35" s="32"/>
      <c r="C35" s="32"/>
      <c r="D35" s="32"/>
      <c r="E35" s="32"/>
      <c r="F35" s="32"/>
      <c r="G35" s="32"/>
      <c r="H35" s="32"/>
      <c r="I35" s="32"/>
      <c r="J35" s="32"/>
      <c r="K35" s="32"/>
      <c r="L35" s="32"/>
      <c r="M35" s="32"/>
      <c r="N35" s="32"/>
      <c r="O35" s="32"/>
      <c r="P35" s="32"/>
      <c r="Q35" s="32"/>
      <c r="R35" s="32"/>
      <c r="S35" s="32"/>
      <c r="T35" s="32"/>
      <c r="U35" s="32"/>
      <c r="V35" s="32"/>
      <c r="W35" s="32"/>
      <c r="X35" s="32"/>
      <c r="Y35" s="32"/>
    </row>
    <row r="36" spans="1:25">
      <c r="A36" s="32"/>
      <c r="B36" s="32"/>
      <c r="C36" s="32"/>
      <c r="D36" s="32"/>
      <c r="E36" s="32"/>
      <c r="F36" s="32"/>
      <c r="G36" s="32"/>
      <c r="H36" s="32"/>
      <c r="I36" s="32"/>
      <c r="J36" s="32"/>
      <c r="K36" s="32"/>
      <c r="L36" s="32"/>
      <c r="M36" s="32"/>
      <c r="N36" s="32"/>
      <c r="O36" s="32"/>
      <c r="P36" s="32"/>
      <c r="Q36" s="32"/>
      <c r="R36" s="32"/>
      <c r="S36" s="32"/>
      <c r="T36" s="32"/>
      <c r="U36" s="32"/>
      <c r="V36" s="32"/>
      <c r="W36" s="32"/>
      <c r="X36" s="32"/>
      <c r="Y36" s="32"/>
    </row>
    <row r="37" spans="1:25">
      <c r="A37" s="32"/>
      <c r="B37" s="32"/>
      <c r="C37" s="32"/>
      <c r="D37" s="32"/>
      <c r="E37" s="32"/>
      <c r="F37" s="32"/>
      <c r="G37" s="32"/>
      <c r="H37" s="32"/>
      <c r="I37" s="32"/>
      <c r="J37" s="32"/>
      <c r="K37" s="32"/>
      <c r="L37" s="32"/>
      <c r="M37" s="32"/>
      <c r="N37" s="32"/>
      <c r="O37" s="32"/>
      <c r="P37" s="32"/>
      <c r="Q37" s="32"/>
      <c r="R37" s="32"/>
      <c r="S37" s="32"/>
      <c r="T37" s="32"/>
      <c r="U37" s="32"/>
      <c r="V37" s="32"/>
      <c r="W37" s="32"/>
      <c r="X37" s="32"/>
      <c r="Y37" s="32"/>
    </row>
  </sheetData>
  <mergeCells count="14">
    <mergeCell ref="A1:Y2"/>
    <mergeCell ref="A3:Y3"/>
    <mergeCell ref="B5:C5"/>
    <mergeCell ref="B6:C7"/>
    <mergeCell ref="E5:F5"/>
    <mergeCell ref="E6:F7"/>
    <mergeCell ref="H5:I5"/>
    <mergeCell ref="H6:I7"/>
    <mergeCell ref="K5:L5"/>
    <mergeCell ref="K6:L7"/>
    <mergeCell ref="N5:O5"/>
    <mergeCell ref="N6:O7"/>
    <mergeCell ref="Q5:R5"/>
    <mergeCell ref="Q6:R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3"/>
  <sheetViews>
    <sheetView workbookViewId="0"/>
  </sheetViews>
  <sheetFormatPr defaultColWidth="9"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53"/>
  <sheetViews>
    <sheetView topLeftCell="H1" workbookViewId="0">
      <selection activeCell="N2" sqref="N2"/>
    </sheetView>
  </sheetViews>
  <sheetFormatPr defaultColWidth="9" defaultRowHeight="15"/>
  <cols>
    <col min="1" max="1" width="13.140625" customWidth="1"/>
    <col min="2" max="2" width="17.7109375" customWidth="1"/>
    <col min="3" max="3" width="14.28515625" customWidth="1"/>
    <col min="4" max="4" width="18.28515625" customWidth="1"/>
    <col min="5" max="5" width="11" customWidth="1"/>
    <col min="6" max="6" width="15.42578125" bestFit="1" customWidth="1"/>
    <col min="7" max="7" width="85.5703125" hidden="1" customWidth="1"/>
    <col min="8" max="8" width="17" customWidth="1"/>
    <col min="9" max="9" width="31.28515625" customWidth="1"/>
    <col min="10" max="10" width="13.28515625" customWidth="1"/>
    <col min="11" max="11" width="12.85546875" bestFit="1" customWidth="1"/>
    <col min="12" max="12" width="10.85546875" hidden="1" customWidth="1"/>
    <col min="13" max="13" width="10.85546875" customWidth="1"/>
    <col min="14" max="14" width="9.140625" customWidth="1"/>
    <col min="15" max="15" width="9.7109375" customWidth="1"/>
    <col min="16" max="16" width="41.7109375" customWidth="1"/>
  </cols>
  <sheetData>
    <row r="1" spans="1:25">
      <c r="A1" t="s">
        <v>253</v>
      </c>
      <c r="B1" t="s">
        <v>254</v>
      </c>
      <c r="C1" t="s">
        <v>255</v>
      </c>
      <c r="D1" t="s">
        <v>256</v>
      </c>
      <c r="E1" t="s">
        <v>257</v>
      </c>
      <c r="F1" t="s">
        <v>258</v>
      </c>
      <c r="G1" t="s">
        <v>259</v>
      </c>
      <c r="H1" t="s">
        <v>260</v>
      </c>
      <c r="I1" t="s">
        <v>261</v>
      </c>
      <c r="J1" t="s">
        <v>262</v>
      </c>
      <c r="K1" t="s">
        <v>263</v>
      </c>
      <c r="L1" t="s">
        <v>264</v>
      </c>
      <c r="M1" t="s">
        <v>265</v>
      </c>
      <c r="N1" s="7" t="s">
        <v>1186</v>
      </c>
      <c r="O1" t="s">
        <v>266</v>
      </c>
      <c r="P1" t="s">
        <v>267</v>
      </c>
      <c r="Q1" t="s">
        <v>268</v>
      </c>
      <c r="R1" s="7" t="s">
        <v>1183</v>
      </c>
    </row>
    <row r="2" spans="1:25">
      <c r="A2">
        <v>151925</v>
      </c>
      <c r="B2" t="s">
        <v>286</v>
      </c>
      <c r="C2" t="s">
        <v>287</v>
      </c>
      <c r="D2" t="s">
        <v>271</v>
      </c>
      <c r="E2" t="s">
        <v>287</v>
      </c>
      <c r="F2">
        <v>2179</v>
      </c>
      <c r="G2" s="3" t="s">
        <v>514</v>
      </c>
      <c r="H2" t="s">
        <v>515</v>
      </c>
      <c r="I2" s="2" t="s">
        <v>516</v>
      </c>
      <c r="K2">
        <v>299</v>
      </c>
      <c r="L2" t="s">
        <v>276</v>
      </c>
      <c r="M2">
        <f>Table1[[#This Row],[Sales Volume]]*Table1[[#This Row],[price(USD)]]</f>
        <v>651521</v>
      </c>
      <c r="N2" t="s">
        <v>277</v>
      </c>
      <c r="O2" t="s">
        <v>278</v>
      </c>
      <c r="P2" t="str">
        <f>HYPERLINK(Table1[[#This Row],[url]],Table1[[#This Row],[name]])</f>
        <v>VINTAGE EFFECT LEATHER BOMBER JACKET</v>
      </c>
      <c r="Q2" t="str">
        <f>IF(Table1[[#This Row],[price(USD)]]&gt;295.33,"Premimum",IF(Table1[[#This Row],[price(USD)]]&gt;151.66,"Mid Range","Budget"))</f>
        <v>Premimum</v>
      </c>
      <c r="R2" t="str">
        <f>IF(Table1[[#This Row],[Sales Volume]]&gt;2169,"Best Seller",IF(Table1[[#This Row],[Sales Volume]]&gt;1349,"Average","Slow seller"))</f>
        <v>Best Seller</v>
      </c>
      <c r="V2" t="s">
        <v>279</v>
      </c>
      <c r="W2" t="s">
        <v>280</v>
      </c>
      <c r="X2" t="s">
        <v>281</v>
      </c>
    </row>
    <row r="3" spans="1:25">
      <c r="A3">
        <v>114877</v>
      </c>
      <c r="B3" t="s">
        <v>269</v>
      </c>
      <c r="C3" t="s">
        <v>270</v>
      </c>
      <c r="D3" t="s">
        <v>271</v>
      </c>
      <c r="E3" t="s">
        <v>270</v>
      </c>
      <c r="F3">
        <v>1860</v>
      </c>
      <c r="G3" t="s">
        <v>431</v>
      </c>
      <c r="H3" t="s">
        <v>432</v>
      </c>
      <c r="I3" t="s">
        <v>433</v>
      </c>
      <c r="J3" t="s">
        <v>434</v>
      </c>
      <c r="K3">
        <v>349</v>
      </c>
      <c r="L3" t="s">
        <v>276</v>
      </c>
      <c r="M3">
        <f>Table1[[#This Row],[Sales Volume]]*Table1[[#This Row],[price(USD)]]</f>
        <v>649140</v>
      </c>
      <c r="N3" t="s">
        <v>277</v>
      </c>
      <c r="O3" t="s">
        <v>278</v>
      </c>
      <c r="P3" t="str">
        <f>HYPERLINK(Table1[[#This Row],[url]],Table1[[#This Row],[name]])</f>
        <v>SUEDE JACKET</v>
      </c>
      <c r="Q3" t="str">
        <f>IF(Table1[[#This Row],[price(USD)]]&gt;295.33,"Premimum",IF(Table1[[#This Row],[price(USD)]]&gt;151.66,"Mid Range","Budget"))</f>
        <v>Premimum</v>
      </c>
      <c r="R3" t="str">
        <f>IF(Table1[[#This Row],[Sales Volume]]&gt;2169,"Best Seller",IF(Table1[[#This Row],[Sales Volume]]&gt;1349,"Average","Slow seller"))</f>
        <v>Average</v>
      </c>
      <c r="V3">
        <f>MAX(Table1[price(USD)])</f>
        <v>439</v>
      </c>
      <c r="W3">
        <f>MIN(Table1[price(USD)])</f>
        <v>7.99</v>
      </c>
      <c r="X3">
        <f>MAX(Table1[price(USD)])-MIN(Table1[price(USD)])</f>
        <v>431.01</v>
      </c>
      <c r="Y3">
        <f>X3/3</f>
        <v>143.66999999999999</v>
      </c>
    </row>
    <row r="4" spans="1:25">
      <c r="A4">
        <v>152723</v>
      </c>
      <c r="B4" t="s">
        <v>269</v>
      </c>
      <c r="C4" t="s">
        <v>270</v>
      </c>
      <c r="D4" t="s">
        <v>271</v>
      </c>
      <c r="E4" t="s">
        <v>287</v>
      </c>
      <c r="F4">
        <v>2849</v>
      </c>
      <c r="G4" t="s">
        <v>613</v>
      </c>
      <c r="H4" t="s">
        <v>614</v>
      </c>
      <c r="I4" t="s">
        <v>615</v>
      </c>
      <c r="J4" t="s">
        <v>616</v>
      </c>
      <c r="K4">
        <v>169</v>
      </c>
      <c r="L4" t="s">
        <v>276</v>
      </c>
      <c r="M4">
        <f>Table1[[#This Row],[Sales Volume]]*Table1[[#This Row],[price(USD)]]</f>
        <v>481481</v>
      </c>
      <c r="N4" t="s">
        <v>277</v>
      </c>
      <c r="O4" t="s">
        <v>278</v>
      </c>
      <c r="P4" t="str">
        <f>HYPERLINK(Table1[[#This Row],[url]],Table1[[#This Row],[name]])</f>
        <v>LONGLINE QUILTED JACKET</v>
      </c>
      <c r="Q4" t="str">
        <f>IF(Table1[[#This Row],[price(USD)]]&gt;295.33,"Premimum",IF(Table1[[#This Row],[price(USD)]]&gt;151.66,"Mid Range","Budget"))</f>
        <v>Mid Range</v>
      </c>
      <c r="R4" t="str">
        <f>IF(Table1[[#This Row],[Sales Volume]]&gt;2169,"Best Seller",IF(Table1[[#This Row],[Sales Volume]]&gt;1349,"Average","Slow seller"))</f>
        <v>Best Seller</v>
      </c>
      <c r="V4" t="s">
        <v>292</v>
      </c>
      <c r="W4" t="s">
        <v>293</v>
      </c>
      <c r="X4" t="s">
        <v>294</v>
      </c>
    </row>
    <row r="5" spans="1:25">
      <c r="A5">
        <v>154016</v>
      </c>
      <c r="B5" t="s">
        <v>286</v>
      </c>
      <c r="C5" t="s">
        <v>287</v>
      </c>
      <c r="D5" t="s">
        <v>271</v>
      </c>
      <c r="E5" t="s">
        <v>287</v>
      </c>
      <c r="F5">
        <v>2366</v>
      </c>
      <c r="G5" t="s">
        <v>541</v>
      </c>
      <c r="H5" t="s">
        <v>542</v>
      </c>
      <c r="I5" t="s">
        <v>543</v>
      </c>
      <c r="J5" t="s">
        <v>544</v>
      </c>
      <c r="K5">
        <v>189</v>
      </c>
      <c r="L5" t="s">
        <v>276</v>
      </c>
      <c r="M5">
        <f>Table1[[#This Row],[Sales Volume]]*Table1[[#This Row],[price(USD)]]</f>
        <v>447174</v>
      </c>
      <c r="N5" t="s">
        <v>277</v>
      </c>
      <c r="O5" t="s">
        <v>278</v>
      </c>
      <c r="P5" t="str">
        <f>HYPERLINK(Table1[[#This Row],[url]],Table1[[#This Row],[name]])</f>
        <v>WOOL BLEND TEXTURED JACKET</v>
      </c>
      <c r="Q5" t="str">
        <f>IF(Table1[[#This Row],[price(USD)]]&gt;295.33,"Premimum",IF(Table1[[#This Row],[price(USD)]]&gt;151.66,"Mid Range","Budget"))</f>
        <v>Mid Range</v>
      </c>
      <c r="R5" t="str">
        <f>IF(Table1[[#This Row],[Sales Volume]]&gt;2169,"Best Seller",IF(Table1[[#This Row],[Sales Volume]]&gt;1349,"Average","Slow seller"))</f>
        <v>Best Seller</v>
      </c>
      <c r="V5">
        <f>W3</f>
        <v>7.99</v>
      </c>
      <c r="W5">
        <f>W3+Y3</f>
        <v>151.66</v>
      </c>
      <c r="X5">
        <f>W3+Y3+Y3</f>
        <v>295.33</v>
      </c>
    </row>
    <row r="6" spans="1:25">
      <c r="A6">
        <v>152563</v>
      </c>
      <c r="B6" t="s">
        <v>307</v>
      </c>
      <c r="C6" t="s">
        <v>270</v>
      </c>
      <c r="D6" t="s">
        <v>271</v>
      </c>
      <c r="E6" t="s">
        <v>287</v>
      </c>
      <c r="F6">
        <v>2572</v>
      </c>
      <c r="G6" t="s">
        <v>927</v>
      </c>
      <c r="H6" t="s">
        <v>928</v>
      </c>
      <c r="I6" t="s">
        <v>929</v>
      </c>
      <c r="J6" t="s">
        <v>930</v>
      </c>
      <c r="K6">
        <v>169</v>
      </c>
      <c r="L6" t="s">
        <v>276</v>
      </c>
      <c r="M6">
        <f>Table1[[#This Row],[Sales Volume]]*Table1[[#This Row],[price(USD)]]</f>
        <v>434668</v>
      </c>
      <c r="N6" t="s">
        <v>893</v>
      </c>
      <c r="O6" t="s">
        <v>894</v>
      </c>
      <c r="P6" t="str">
        <f>HYPERLINK(Table1[[#This Row],[url]],Table1[[#This Row],[name]])</f>
        <v>CASHMERE BLEND KNIT SWEATER</v>
      </c>
      <c r="Q6" t="str">
        <f>IF(Table1[[#This Row],[price(USD)]]&gt;295.33,"Premimum",IF(Table1[[#This Row],[price(USD)]]&gt;151.66,"Mid Range","Budget"))</f>
        <v>Mid Range</v>
      </c>
      <c r="R6" t="str">
        <f>IF(Table1[[#This Row],[Sales Volume]]&gt;2169,"Best Seller",IF(Table1[[#This Row],[Sales Volume]]&gt;1349,"Average","Slow seller"))</f>
        <v>Best Seller</v>
      </c>
    </row>
    <row r="7" spans="1:25">
      <c r="A7">
        <v>192936</v>
      </c>
      <c r="B7" t="s">
        <v>286</v>
      </c>
      <c r="C7" t="s">
        <v>270</v>
      </c>
      <c r="D7" t="s">
        <v>271</v>
      </c>
      <c r="E7" t="s">
        <v>287</v>
      </c>
      <c r="F7">
        <v>2942</v>
      </c>
      <c r="G7" t="s">
        <v>299</v>
      </c>
      <c r="H7" t="s">
        <v>300</v>
      </c>
      <c r="I7" t="s">
        <v>301</v>
      </c>
      <c r="J7" t="s">
        <v>302</v>
      </c>
      <c r="K7">
        <v>139</v>
      </c>
      <c r="L7" t="s">
        <v>276</v>
      </c>
      <c r="M7">
        <f>Table1[[#This Row],[Sales Volume]]*Table1[[#This Row],[price(USD)]]</f>
        <v>408938</v>
      </c>
      <c r="N7" t="s">
        <v>277</v>
      </c>
      <c r="O7" t="s">
        <v>278</v>
      </c>
      <c r="P7" t="str">
        <f>HYPERLINK(Table1[[#This Row],[url]],Table1[[#This Row],[name]])</f>
        <v>DOUBLE FACED JACKET</v>
      </c>
      <c r="Q7" t="str">
        <f>IF(Table1[[#This Row],[price(USD)]]&gt;295.33,"Premimum",IF(Table1[[#This Row],[price(USD)]]&gt;151.66,"Mid Range","Budget"))</f>
        <v>Budget</v>
      </c>
      <c r="R7" t="str">
        <f>IF(Table1[[#This Row],[Sales Volume]]&gt;2169,"Best Seller",IF(Table1[[#This Row],[Sales Volume]]&gt;1349,"Average","Slow seller"))</f>
        <v>Best Seller</v>
      </c>
      <c r="V7" s="2" t="s">
        <v>1164</v>
      </c>
      <c r="W7" s="2" t="s">
        <v>1165</v>
      </c>
      <c r="X7" s="2" t="s">
        <v>281</v>
      </c>
    </row>
    <row r="8" spans="1:25">
      <c r="A8">
        <v>137598</v>
      </c>
      <c r="B8" t="s">
        <v>269</v>
      </c>
      <c r="C8" t="s">
        <v>270</v>
      </c>
      <c r="D8" t="s">
        <v>271</v>
      </c>
      <c r="E8" t="s">
        <v>287</v>
      </c>
      <c r="F8">
        <v>2839</v>
      </c>
      <c r="G8" t="s">
        <v>656</v>
      </c>
      <c r="H8" t="s">
        <v>657</v>
      </c>
      <c r="I8" t="s">
        <v>500</v>
      </c>
      <c r="J8" t="s">
        <v>658</v>
      </c>
      <c r="K8">
        <v>139</v>
      </c>
      <c r="L8" t="s">
        <v>276</v>
      </c>
      <c r="M8">
        <f>Table1[[#This Row],[Sales Volume]]*Table1[[#This Row],[price(USD)]]</f>
        <v>394621</v>
      </c>
      <c r="N8" t="s">
        <v>277</v>
      </c>
      <c r="O8" t="s">
        <v>278</v>
      </c>
      <c r="P8" t="str">
        <f>HYPERLINK(Table1[[#This Row],[url]],Table1[[#This Row],[name]])</f>
        <v>POCKET JACKET</v>
      </c>
      <c r="Q8" t="str">
        <f>IF(Table1[[#This Row],[price(USD)]]&gt;295.33,"Premimum",IF(Table1[[#This Row],[price(USD)]]&gt;151.66,"Mid Range","Budget"))</f>
        <v>Budget</v>
      </c>
      <c r="R8" t="str">
        <f>IF(Table1[[#This Row],[Sales Volume]]&gt;2169,"Best Seller",IF(Table1[[#This Row],[Sales Volume]]&gt;1349,"Average","Slow seller"))</f>
        <v>Best Seller</v>
      </c>
      <c r="V8">
        <f>MAX(Table1[Sales Volume])</f>
        <v>2989</v>
      </c>
      <c r="W8">
        <f>MIN(Table1[Sales Volume])</f>
        <v>529</v>
      </c>
      <c r="X8">
        <f>V8-W8</f>
        <v>2460</v>
      </c>
      <c r="Y8">
        <f>X8/3</f>
        <v>820</v>
      </c>
    </row>
    <row r="9" spans="1:25">
      <c r="A9">
        <v>110805</v>
      </c>
      <c r="B9" t="s">
        <v>307</v>
      </c>
      <c r="C9" t="s">
        <v>287</v>
      </c>
      <c r="D9" t="s">
        <v>271</v>
      </c>
      <c r="E9" t="s">
        <v>270</v>
      </c>
      <c r="F9">
        <v>2477</v>
      </c>
      <c r="G9" t="s">
        <v>399</v>
      </c>
      <c r="H9" t="s">
        <v>400</v>
      </c>
      <c r="I9" t="s">
        <v>401</v>
      </c>
      <c r="J9" t="s">
        <v>402</v>
      </c>
      <c r="K9">
        <v>159</v>
      </c>
      <c r="L9" t="s">
        <v>276</v>
      </c>
      <c r="M9">
        <f>Table1[[#This Row],[Sales Volume]]*Table1[[#This Row],[price(USD)]]</f>
        <v>393843</v>
      </c>
      <c r="N9" t="s">
        <v>277</v>
      </c>
      <c r="O9" t="s">
        <v>278</v>
      </c>
      <c r="P9" t="str">
        <f>HYPERLINK(Table1[[#This Row],[url]],Table1[[#This Row],[name]])</f>
        <v>FAUX LEATHER OVERSIZED JACKET LIMITED EDITION</v>
      </c>
      <c r="Q9" t="str">
        <f>IF(Table1[[#This Row],[price(USD)]]&gt;295.33,"Premimum",IF(Table1[[#This Row],[price(USD)]]&gt;151.66,"Mid Range","Budget"))</f>
        <v>Mid Range</v>
      </c>
      <c r="R9" t="str">
        <f>IF(Table1[[#This Row],[Sales Volume]]&gt;2169,"Best Seller",IF(Table1[[#This Row],[Sales Volume]]&gt;1349,"Average","Slow seller"))</f>
        <v>Best Seller</v>
      </c>
    </row>
    <row r="10" spans="1:25">
      <c r="A10">
        <v>138779</v>
      </c>
      <c r="B10" t="s">
        <v>307</v>
      </c>
      <c r="C10" t="s">
        <v>287</v>
      </c>
      <c r="D10" t="s">
        <v>271</v>
      </c>
      <c r="E10" t="s">
        <v>287</v>
      </c>
      <c r="F10">
        <v>2801</v>
      </c>
      <c r="G10" t="s">
        <v>659</v>
      </c>
      <c r="H10" t="s">
        <v>660</v>
      </c>
      <c r="I10" t="s">
        <v>290</v>
      </c>
      <c r="J10" t="s">
        <v>298</v>
      </c>
      <c r="K10">
        <v>139</v>
      </c>
      <c r="L10" t="s">
        <v>276</v>
      </c>
      <c r="M10">
        <f>Table1[[#This Row],[Sales Volume]]*Table1[[#This Row],[price(USD)]]</f>
        <v>389339</v>
      </c>
      <c r="N10" t="s">
        <v>277</v>
      </c>
      <c r="O10" t="s">
        <v>278</v>
      </c>
      <c r="P10" t="str">
        <f>HYPERLINK(Table1[[#This Row],[url]],Table1[[#This Row],[name]])</f>
        <v>SLIM FIT SUIT JACKET</v>
      </c>
      <c r="Q10" t="str">
        <f>IF(Table1[[#This Row],[price(USD)]]&gt;295.33,"Premimum",IF(Table1[[#This Row],[price(USD)]]&gt;151.66,"Mid Range","Budget"))</f>
        <v>Budget</v>
      </c>
      <c r="R10" t="str">
        <f>IF(Table1[[#This Row],[Sales Volume]]&gt;2169,"Best Seller",IF(Table1[[#This Row],[Sales Volume]]&gt;1349,"Average","Slow seller"))</f>
        <v>Best Seller</v>
      </c>
      <c r="V10" s="2" t="s">
        <v>1166</v>
      </c>
      <c r="W10" s="2" t="s">
        <v>1167</v>
      </c>
      <c r="X10" s="2" t="s">
        <v>1168</v>
      </c>
    </row>
    <row r="11" spans="1:25">
      <c r="A11">
        <v>161909</v>
      </c>
      <c r="B11" t="s">
        <v>269</v>
      </c>
      <c r="C11" t="s">
        <v>287</v>
      </c>
      <c r="D11" t="s">
        <v>271</v>
      </c>
      <c r="E11" t="s">
        <v>270</v>
      </c>
      <c r="F11">
        <v>1290</v>
      </c>
      <c r="G11" t="s">
        <v>371</v>
      </c>
      <c r="H11" t="s">
        <v>372</v>
      </c>
      <c r="I11" t="s">
        <v>373</v>
      </c>
      <c r="J11" t="s">
        <v>374</v>
      </c>
      <c r="K11">
        <v>299</v>
      </c>
      <c r="L11" t="s">
        <v>276</v>
      </c>
      <c r="M11">
        <f>Table1[[#This Row],[Sales Volume]]*Table1[[#This Row],[price(USD)]]</f>
        <v>385710</v>
      </c>
      <c r="N11" t="s">
        <v>277</v>
      </c>
      <c r="O11" t="s">
        <v>278</v>
      </c>
      <c r="P11" t="str">
        <f>HYPERLINK(Table1[[#This Row],[url]],Table1[[#This Row],[name]])</f>
        <v>LEATHER JACKET</v>
      </c>
      <c r="Q11" t="str">
        <f>IF(Table1[[#This Row],[price(USD)]]&gt;295.33,"Premimum",IF(Table1[[#This Row],[price(USD)]]&gt;151.66,"Mid Range","Budget"))</f>
        <v>Premimum</v>
      </c>
      <c r="R11" t="str">
        <f>IF(Table1[[#This Row],[Sales Volume]]&gt;2169,"Best Seller",IF(Table1[[#This Row],[Sales Volume]]&gt;1349,"Average","Slow seller"))</f>
        <v>Slow seller</v>
      </c>
      <c r="V11">
        <f>V8-Y8</f>
        <v>2169</v>
      </c>
      <c r="W11">
        <f>V8-Y8-Y8</f>
        <v>1349</v>
      </c>
      <c r="X11">
        <f>W8</f>
        <v>529</v>
      </c>
    </row>
    <row r="12" spans="1:25">
      <c r="A12">
        <v>182157</v>
      </c>
      <c r="B12" t="s">
        <v>269</v>
      </c>
      <c r="C12" t="s">
        <v>270</v>
      </c>
      <c r="D12" t="s">
        <v>271</v>
      </c>
      <c r="E12" t="s">
        <v>270</v>
      </c>
      <c r="F12">
        <v>2421</v>
      </c>
      <c r="G12" t="s">
        <v>312</v>
      </c>
      <c r="H12" t="s">
        <v>313</v>
      </c>
      <c r="I12" t="s">
        <v>314</v>
      </c>
      <c r="J12" t="s">
        <v>315</v>
      </c>
      <c r="K12">
        <v>159</v>
      </c>
      <c r="L12" t="s">
        <v>276</v>
      </c>
      <c r="M12">
        <f>Table1[[#This Row],[Sales Volume]]*Table1[[#This Row],[price(USD)]]</f>
        <v>384939</v>
      </c>
      <c r="N12" t="s">
        <v>277</v>
      </c>
      <c r="O12" t="s">
        <v>278</v>
      </c>
      <c r="P12" t="str">
        <f>HYPERLINK(Table1[[#This Row],[url]],Table1[[#This Row],[name]])</f>
        <v>SUIT JACKET IN 100% LINEN</v>
      </c>
      <c r="Q12" t="str">
        <f>IF(Table1[[#This Row],[price(USD)]]&gt;295.33,"Premimum",IF(Table1[[#This Row],[price(USD)]]&gt;151.66,"Mid Range","Budget"))</f>
        <v>Mid Range</v>
      </c>
      <c r="R12" t="str">
        <f>IF(Table1[[#This Row],[Sales Volume]]&gt;2169,"Best Seller",IF(Table1[[#This Row],[Sales Volume]]&gt;1349,"Average","Slow seller"))</f>
        <v>Best Seller</v>
      </c>
    </row>
    <row r="13" spans="1:25">
      <c r="A13">
        <v>123824</v>
      </c>
      <c r="B13" t="s">
        <v>269</v>
      </c>
      <c r="C13" t="s">
        <v>287</v>
      </c>
      <c r="D13" t="s">
        <v>271</v>
      </c>
      <c r="E13" t="s">
        <v>270</v>
      </c>
      <c r="F13">
        <v>2277</v>
      </c>
      <c r="G13" t="s">
        <v>617</v>
      </c>
      <c r="H13" t="s">
        <v>618</v>
      </c>
      <c r="I13" t="s">
        <v>619</v>
      </c>
      <c r="J13" t="s">
        <v>620</v>
      </c>
      <c r="K13">
        <v>169</v>
      </c>
      <c r="L13" t="s">
        <v>276</v>
      </c>
      <c r="M13">
        <f>Table1[[#This Row],[Sales Volume]]*Table1[[#This Row],[price(USD)]]</f>
        <v>384813</v>
      </c>
      <c r="N13" t="s">
        <v>277</v>
      </c>
      <c r="O13" t="s">
        <v>278</v>
      </c>
      <c r="P13" t="str">
        <f>HYPERLINK(Table1[[#This Row],[url]],Table1[[#This Row],[name]])</f>
        <v>WOOL BLEND SUIT JACKET</v>
      </c>
      <c r="Q13" t="str">
        <f>IF(Table1[[#This Row],[price(USD)]]&gt;295.33,"Premimum",IF(Table1[[#This Row],[price(USD)]]&gt;151.66,"Mid Range","Budget"))</f>
        <v>Mid Range</v>
      </c>
      <c r="R13" t="str">
        <f>IF(Table1[[#This Row],[Sales Volume]]&gt;2169,"Best Seller",IF(Table1[[#This Row],[Sales Volume]]&gt;1349,"Average","Slow seller"))</f>
        <v>Best Seller</v>
      </c>
    </row>
    <row r="14" spans="1:25">
      <c r="A14">
        <v>113435</v>
      </c>
      <c r="B14" t="s">
        <v>269</v>
      </c>
      <c r="C14" t="s">
        <v>270</v>
      </c>
      <c r="D14" t="s">
        <v>271</v>
      </c>
      <c r="E14" t="s">
        <v>287</v>
      </c>
      <c r="F14">
        <v>2973</v>
      </c>
      <c r="G14" t="s">
        <v>1003</v>
      </c>
      <c r="H14" t="s">
        <v>760</v>
      </c>
      <c r="I14" t="s">
        <v>397</v>
      </c>
      <c r="J14" t="s">
        <v>394</v>
      </c>
      <c r="K14">
        <v>129</v>
      </c>
      <c r="L14" t="s">
        <v>276</v>
      </c>
      <c r="M14">
        <f>Table1[[#This Row],[Sales Volume]]*Table1[[#This Row],[price(USD)]]</f>
        <v>383517</v>
      </c>
      <c r="N14" t="s">
        <v>277</v>
      </c>
      <c r="O14" t="s">
        <v>278</v>
      </c>
      <c r="P14" t="str">
        <f>HYPERLINK(Table1[[#This Row],[url]],Table1[[#This Row],[name]])</f>
        <v>RIB COLLAR JACKET</v>
      </c>
      <c r="Q14" t="str">
        <f>IF(Table1[[#This Row],[price(USD)]]&gt;295.33,"Premimum",IF(Table1[[#This Row],[price(USD)]]&gt;151.66,"Mid Range","Budget"))</f>
        <v>Budget</v>
      </c>
      <c r="R14" t="str">
        <f>IF(Table1[[#This Row],[Sales Volume]]&gt;2169,"Best Seller",IF(Table1[[#This Row],[Sales Volume]]&gt;1349,"Average","Slow seller"))</f>
        <v>Best Seller</v>
      </c>
    </row>
    <row r="15" spans="1:25">
      <c r="A15">
        <v>172015</v>
      </c>
      <c r="B15" t="s">
        <v>286</v>
      </c>
      <c r="C15" t="s">
        <v>287</v>
      </c>
      <c r="D15" t="s">
        <v>271</v>
      </c>
      <c r="E15" t="s">
        <v>287</v>
      </c>
      <c r="F15">
        <v>2622</v>
      </c>
      <c r="G15" t="s">
        <v>991</v>
      </c>
      <c r="H15" t="s">
        <v>748</v>
      </c>
      <c r="I15" t="s">
        <v>385</v>
      </c>
      <c r="J15" t="s">
        <v>604</v>
      </c>
      <c r="K15">
        <v>139</v>
      </c>
      <c r="L15" t="s">
        <v>276</v>
      </c>
      <c r="M15">
        <f>Table1[[#This Row],[Sales Volume]]*Table1[[#This Row],[price(USD)]]</f>
        <v>364458</v>
      </c>
      <c r="N15" t="s">
        <v>1093</v>
      </c>
      <c r="O15" t="s">
        <v>278</v>
      </c>
      <c r="P15" t="str">
        <f>HYPERLINK(Table1[[#This Row],[url]],Table1[[#This Row],[name]])</f>
        <v>FAUX LEATHER BOMBER JACKET</v>
      </c>
      <c r="Q15" t="str">
        <f>IF(Table1[[#This Row],[price(USD)]]&gt;295.33,"Premimum",IF(Table1[[#This Row],[price(USD)]]&gt;151.66,"Mid Range","Budget"))</f>
        <v>Budget</v>
      </c>
      <c r="R15" t="str">
        <f>IF(Table1[[#This Row],[Sales Volume]]&gt;2169,"Best Seller",IF(Table1[[#This Row],[Sales Volume]]&gt;1349,"Average","Slow seller"))</f>
        <v>Best Seller</v>
      </c>
    </row>
    <row r="16" spans="1:25">
      <c r="A16">
        <v>134693</v>
      </c>
      <c r="B16" t="s">
        <v>269</v>
      </c>
      <c r="C16" t="s">
        <v>287</v>
      </c>
      <c r="D16" t="s">
        <v>271</v>
      </c>
      <c r="E16" t="s">
        <v>270</v>
      </c>
      <c r="F16">
        <v>2124</v>
      </c>
      <c r="G16" t="s">
        <v>332</v>
      </c>
      <c r="H16" t="s">
        <v>333</v>
      </c>
      <c r="I16" t="s">
        <v>334</v>
      </c>
      <c r="J16" t="s">
        <v>335</v>
      </c>
      <c r="K16">
        <v>169</v>
      </c>
      <c r="L16" t="s">
        <v>276</v>
      </c>
      <c r="M16">
        <f>Table1[[#This Row],[Sales Volume]]*Table1[[#This Row],[price(USD)]]</f>
        <v>358956</v>
      </c>
      <c r="N16" t="s">
        <v>277</v>
      </c>
      <c r="O16" t="s">
        <v>278</v>
      </c>
      <c r="P16" t="str">
        <f>HYPERLINK(Table1[[#This Row],[url]],Table1[[#This Row],[name]])</f>
        <v>LEATHER BIKER JACKET</v>
      </c>
      <c r="Q16" t="str">
        <f>IF(Table1[[#This Row],[price(USD)]]&gt;295.33,"Premimum",IF(Table1[[#This Row],[price(USD)]]&gt;151.66,"Mid Range","Budget"))</f>
        <v>Mid Range</v>
      </c>
      <c r="R16" t="str">
        <f>IF(Table1[[#This Row],[Sales Volume]]&gt;2169,"Best Seller",IF(Table1[[#This Row],[Sales Volume]]&gt;1349,"Average","Slow seller"))</f>
        <v>Average</v>
      </c>
    </row>
    <row r="17" spans="1:18">
      <c r="A17">
        <v>199233</v>
      </c>
      <c r="B17" t="s">
        <v>269</v>
      </c>
      <c r="C17" t="s">
        <v>287</v>
      </c>
      <c r="D17" t="s">
        <v>271</v>
      </c>
      <c r="E17" t="s">
        <v>270</v>
      </c>
      <c r="F17">
        <v>2222</v>
      </c>
      <c r="G17" t="s">
        <v>1011</v>
      </c>
      <c r="H17" t="s">
        <v>768</v>
      </c>
      <c r="I17" t="s">
        <v>405</v>
      </c>
      <c r="J17" t="s">
        <v>402</v>
      </c>
      <c r="K17">
        <v>159</v>
      </c>
      <c r="L17" t="s">
        <v>276</v>
      </c>
      <c r="M17">
        <f>Table1[[#This Row],[Sales Volume]]*Table1[[#This Row],[price(USD)]]</f>
        <v>353298</v>
      </c>
      <c r="N17" t="s">
        <v>277</v>
      </c>
      <c r="O17" t="s">
        <v>278</v>
      </c>
      <c r="P17" t="str">
        <f>HYPERLINK(Table1[[#This Row],[url]],Table1[[#This Row],[name]])</f>
        <v>CONTRASTING PATCHES BOMBER JACKET</v>
      </c>
      <c r="Q17" t="str">
        <f>IF(Table1[[#This Row],[price(USD)]]&gt;295.33,"Premimum",IF(Table1[[#This Row],[price(USD)]]&gt;151.66,"Mid Range","Budget"))</f>
        <v>Mid Range</v>
      </c>
      <c r="R17" t="str">
        <f>IF(Table1[[#This Row],[Sales Volume]]&gt;2169,"Best Seller",IF(Table1[[#This Row],[Sales Volume]]&gt;1349,"Average","Slow seller"))</f>
        <v>Best Seller</v>
      </c>
    </row>
    <row r="18" spans="1:18">
      <c r="A18">
        <v>110075</v>
      </c>
      <c r="B18" t="s">
        <v>307</v>
      </c>
      <c r="C18" t="s">
        <v>287</v>
      </c>
      <c r="D18" t="s">
        <v>271</v>
      </c>
      <c r="E18" t="s">
        <v>287</v>
      </c>
      <c r="F18">
        <v>2185</v>
      </c>
      <c r="G18" t="s">
        <v>673</v>
      </c>
      <c r="H18" t="s">
        <v>674</v>
      </c>
      <c r="I18" t="s">
        <v>675</v>
      </c>
      <c r="J18" t="s">
        <v>676</v>
      </c>
      <c r="K18">
        <v>159</v>
      </c>
      <c r="L18" t="s">
        <v>276</v>
      </c>
      <c r="M18">
        <f>Table1[[#This Row],[Sales Volume]]*Table1[[#This Row],[price(USD)]]</f>
        <v>347415</v>
      </c>
      <c r="N18" t="s">
        <v>277</v>
      </c>
      <c r="O18" t="s">
        <v>278</v>
      </c>
      <c r="P18" t="str">
        <f>HYPERLINK(Table1[[#This Row],[url]],Table1[[#This Row],[name]])</f>
        <v>WOOL BLEND FELT TEXTURE JACKET</v>
      </c>
      <c r="Q18" t="str">
        <f>IF(Table1[[#This Row],[price(USD)]]&gt;295.33,"Premimum",IF(Table1[[#This Row],[price(USD)]]&gt;151.66,"Mid Range","Budget"))</f>
        <v>Mid Range</v>
      </c>
      <c r="R18" t="str">
        <f>IF(Table1[[#This Row],[Sales Volume]]&gt;2169,"Best Seller",IF(Table1[[#This Row],[Sales Volume]]&gt;1349,"Average","Slow seller"))</f>
        <v>Best Seller</v>
      </c>
    </row>
    <row r="19" spans="1:18">
      <c r="A19">
        <v>113143</v>
      </c>
      <c r="B19" t="s">
        <v>269</v>
      </c>
      <c r="C19" t="s">
        <v>287</v>
      </c>
      <c r="D19" t="s">
        <v>271</v>
      </c>
      <c r="E19" t="s">
        <v>287</v>
      </c>
      <c r="F19">
        <v>2663</v>
      </c>
      <c r="G19" t="s">
        <v>324</v>
      </c>
      <c r="H19" t="s">
        <v>325</v>
      </c>
      <c r="I19" t="s">
        <v>326</v>
      </c>
      <c r="J19" t="s">
        <v>327</v>
      </c>
      <c r="K19">
        <v>129</v>
      </c>
      <c r="L19" t="s">
        <v>276</v>
      </c>
      <c r="M19">
        <f>Table1[[#This Row],[Sales Volume]]*Table1[[#This Row],[price(USD)]]</f>
        <v>343527</v>
      </c>
      <c r="N19" t="s">
        <v>277</v>
      </c>
      <c r="O19" t="s">
        <v>278</v>
      </c>
      <c r="P19" t="str">
        <f>HYPERLINK(Table1[[#This Row],[url]],Table1[[#This Row],[name]])</f>
        <v>HERRINGBONE TEXTURED JACKET</v>
      </c>
      <c r="Q19" t="str">
        <f>IF(Table1[[#This Row],[price(USD)]]&gt;295.33,"Premimum",IF(Table1[[#This Row],[price(USD)]]&gt;151.66,"Mid Range","Budget"))</f>
        <v>Budget</v>
      </c>
      <c r="R19" t="str">
        <f>IF(Table1[[#This Row],[Sales Volume]]&gt;2169,"Best Seller",IF(Table1[[#This Row],[Sales Volume]]&gt;1349,"Average","Slow seller"))</f>
        <v>Best Seller</v>
      </c>
    </row>
    <row r="20" spans="1:18">
      <c r="A20">
        <v>179801</v>
      </c>
      <c r="B20" t="s">
        <v>307</v>
      </c>
      <c r="C20" t="s">
        <v>270</v>
      </c>
      <c r="D20" t="s">
        <v>271</v>
      </c>
      <c r="E20" t="s">
        <v>287</v>
      </c>
      <c r="F20">
        <v>2608</v>
      </c>
      <c r="G20" t="s">
        <v>403</v>
      </c>
      <c r="H20" t="s">
        <v>404</v>
      </c>
      <c r="I20" t="s">
        <v>405</v>
      </c>
      <c r="J20" t="s">
        <v>406</v>
      </c>
      <c r="K20">
        <v>129</v>
      </c>
      <c r="L20" t="s">
        <v>276</v>
      </c>
      <c r="M20">
        <f>Table1[[#This Row],[Sales Volume]]*Table1[[#This Row],[price(USD)]]</f>
        <v>336432</v>
      </c>
      <c r="N20" t="s">
        <v>277</v>
      </c>
      <c r="O20" t="s">
        <v>278</v>
      </c>
      <c r="P20" t="str">
        <f>HYPERLINK(Table1[[#This Row],[url]],Table1[[#This Row],[name]])</f>
        <v>CONTRASTING PATCHES BOMBER JACKET</v>
      </c>
      <c r="Q20" t="str">
        <f>IF(Table1[[#This Row],[price(USD)]]&gt;295.33,"Premimum",IF(Table1[[#This Row],[price(USD)]]&gt;151.66,"Mid Range","Budget"))</f>
        <v>Budget</v>
      </c>
      <c r="R20" t="str">
        <f>IF(Table1[[#This Row],[Sales Volume]]&gt;2169,"Best Seller",IF(Table1[[#This Row],[Sales Volume]]&gt;1349,"Average","Slow seller"))</f>
        <v>Best Seller</v>
      </c>
    </row>
    <row r="21" spans="1:18">
      <c r="A21">
        <v>123047</v>
      </c>
      <c r="B21" t="s">
        <v>269</v>
      </c>
      <c r="C21" t="s">
        <v>270</v>
      </c>
      <c r="D21" t="s">
        <v>271</v>
      </c>
      <c r="E21" t="s">
        <v>287</v>
      </c>
      <c r="F21">
        <v>2985</v>
      </c>
      <c r="G21" t="s">
        <v>967</v>
      </c>
      <c r="H21" t="s">
        <v>726</v>
      </c>
      <c r="I21" t="s">
        <v>314</v>
      </c>
      <c r="J21" t="s">
        <v>581</v>
      </c>
      <c r="K21">
        <v>109</v>
      </c>
      <c r="L21" t="s">
        <v>276</v>
      </c>
      <c r="M21">
        <f>Table1[[#This Row],[Sales Volume]]*Table1[[#This Row],[price(USD)]]</f>
        <v>325365</v>
      </c>
      <c r="N21" t="s">
        <v>1093</v>
      </c>
      <c r="O21" t="s">
        <v>278</v>
      </c>
      <c r="P21" t="str">
        <f>HYPERLINK(Table1[[#This Row],[url]],Table1[[#This Row],[name]])</f>
        <v>SUIT JACKET IN 100% LINEN</v>
      </c>
      <c r="Q21" t="str">
        <f>IF(Table1[[#This Row],[price(USD)]]&gt;295.33,"Premimum",IF(Table1[[#This Row],[price(USD)]]&gt;151.66,"Mid Range","Budget"))</f>
        <v>Budget</v>
      </c>
      <c r="R21" t="str">
        <f>IF(Table1[[#This Row],[Sales Volume]]&gt;2169,"Best Seller",IF(Table1[[#This Row],[Sales Volume]]&gt;1349,"Average","Slow seller"))</f>
        <v>Best Seller</v>
      </c>
    </row>
    <row r="22" spans="1:18">
      <c r="A22">
        <v>141861</v>
      </c>
      <c r="B22" t="s">
        <v>269</v>
      </c>
      <c r="C22" t="s">
        <v>287</v>
      </c>
      <c r="D22" t="s">
        <v>271</v>
      </c>
      <c r="E22" t="s">
        <v>287</v>
      </c>
      <c r="F22">
        <v>1916</v>
      </c>
      <c r="G22" t="s">
        <v>316</v>
      </c>
      <c r="H22" t="s">
        <v>317</v>
      </c>
      <c r="I22" t="s">
        <v>318</v>
      </c>
      <c r="J22" t="s">
        <v>319</v>
      </c>
      <c r="K22">
        <v>169</v>
      </c>
      <c r="L22" t="s">
        <v>276</v>
      </c>
      <c r="M22">
        <f>Table1[[#This Row],[Sales Volume]]*Table1[[#This Row],[price(USD)]]</f>
        <v>323804</v>
      </c>
      <c r="N22" t="s">
        <v>277</v>
      </c>
      <c r="O22" t="s">
        <v>278</v>
      </c>
      <c r="P22" t="str">
        <f>HYPERLINK(Table1[[#This Row],[url]],Table1[[#This Row],[name]])</f>
        <v>100% WOOL SUIT JACKET</v>
      </c>
      <c r="Q22" t="str">
        <f>IF(Table1[[#This Row],[price(USD)]]&gt;295.33,"Premimum",IF(Table1[[#This Row],[price(USD)]]&gt;151.66,"Mid Range","Budget"))</f>
        <v>Mid Range</v>
      </c>
      <c r="R22" t="str">
        <f>IF(Table1[[#This Row],[Sales Volume]]&gt;2169,"Best Seller",IF(Table1[[#This Row],[Sales Volume]]&gt;1349,"Average","Slow seller"))</f>
        <v>Average</v>
      </c>
    </row>
    <row r="23" spans="1:18">
      <c r="A23">
        <v>127478</v>
      </c>
      <c r="B23" t="s">
        <v>307</v>
      </c>
      <c r="C23" t="s">
        <v>270</v>
      </c>
      <c r="D23" t="s">
        <v>271</v>
      </c>
      <c r="E23" t="s">
        <v>287</v>
      </c>
      <c r="F23">
        <v>2498</v>
      </c>
      <c r="G23" t="s">
        <v>482</v>
      </c>
      <c r="H23" t="s">
        <v>483</v>
      </c>
      <c r="I23" t="s">
        <v>484</v>
      </c>
      <c r="J23" t="s">
        <v>485</v>
      </c>
      <c r="K23">
        <v>129</v>
      </c>
      <c r="L23" t="s">
        <v>276</v>
      </c>
      <c r="M23">
        <f>Table1[[#This Row],[Sales Volume]]*Table1[[#This Row],[price(USD)]]</f>
        <v>322242</v>
      </c>
      <c r="N23" t="s">
        <v>277</v>
      </c>
      <c r="O23" t="s">
        <v>278</v>
      </c>
      <c r="P23" t="str">
        <f>HYPERLINK(Table1[[#This Row],[url]],Table1[[#This Row],[name]])</f>
        <v>STRAIGHT SUIT JACKET</v>
      </c>
      <c r="Q23" t="str">
        <f>IF(Table1[[#This Row],[price(USD)]]&gt;295.33,"Premimum",IF(Table1[[#This Row],[price(USD)]]&gt;151.66,"Mid Range","Budget"))</f>
        <v>Budget</v>
      </c>
      <c r="R23" t="str">
        <f>IF(Table1[[#This Row],[Sales Volume]]&gt;2169,"Best Seller",IF(Table1[[#This Row],[Sales Volume]]&gt;1349,"Average","Slow seller"))</f>
        <v>Best Seller</v>
      </c>
    </row>
    <row r="24" spans="1:18">
      <c r="A24">
        <v>151396</v>
      </c>
      <c r="B24" t="s">
        <v>307</v>
      </c>
      <c r="C24" t="s">
        <v>287</v>
      </c>
      <c r="D24" t="s">
        <v>271</v>
      </c>
      <c r="E24" t="s">
        <v>287</v>
      </c>
      <c r="F24">
        <v>729</v>
      </c>
      <c r="G24" t="s">
        <v>336</v>
      </c>
      <c r="H24" t="s">
        <v>337</v>
      </c>
      <c r="I24" t="s">
        <v>338</v>
      </c>
      <c r="J24" t="s">
        <v>339</v>
      </c>
      <c r="K24">
        <v>439</v>
      </c>
      <c r="L24" t="s">
        <v>276</v>
      </c>
      <c r="M24">
        <f>Table1[[#This Row],[Sales Volume]]*Table1[[#This Row],[price(USD)]]</f>
        <v>320031</v>
      </c>
      <c r="N24" t="s">
        <v>277</v>
      </c>
      <c r="O24" t="s">
        <v>278</v>
      </c>
      <c r="P24" t="str">
        <f>HYPERLINK(Table1[[#This Row],[url]],Table1[[#This Row],[name]])</f>
        <v>CROPPED LEATHER JACKET</v>
      </c>
      <c r="Q24" t="str">
        <f>IF(Table1[[#This Row],[price(USD)]]&gt;295.33,"Premimum",IF(Table1[[#This Row],[price(USD)]]&gt;151.66,"Mid Range","Budget"))</f>
        <v>Premimum</v>
      </c>
      <c r="R24" t="str">
        <f>IF(Table1[[#This Row],[Sales Volume]]&gt;2169,"Best Seller",IF(Table1[[#This Row],[Sales Volume]]&gt;1349,"Average","Slow seller"))</f>
        <v>Slow seller</v>
      </c>
    </row>
    <row r="25" spans="1:18">
      <c r="A25">
        <v>172364</v>
      </c>
      <c r="B25" t="s">
        <v>269</v>
      </c>
      <c r="C25" t="s">
        <v>287</v>
      </c>
      <c r="D25" t="s">
        <v>271</v>
      </c>
      <c r="E25" t="s">
        <v>270</v>
      </c>
      <c r="F25">
        <v>2931</v>
      </c>
      <c r="G25" t="s">
        <v>417</v>
      </c>
      <c r="H25" t="s">
        <v>418</v>
      </c>
      <c r="I25" t="s">
        <v>385</v>
      </c>
      <c r="J25" t="s">
        <v>419</v>
      </c>
      <c r="K25">
        <v>109</v>
      </c>
      <c r="L25" t="s">
        <v>276</v>
      </c>
      <c r="M25">
        <f>Table1[[#This Row],[Sales Volume]]*Table1[[#This Row],[price(USD)]]</f>
        <v>319479</v>
      </c>
      <c r="N25" t="s">
        <v>277</v>
      </c>
      <c r="O25" t="s">
        <v>278</v>
      </c>
      <c r="P25" t="str">
        <f>HYPERLINK(Table1[[#This Row],[url]],Table1[[#This Row],[name]])</f>
        <v>FAUX LEATHER BOMBER JACKET</v>
      </c>
      <c r="Q25" t="str">
        <f>IF(Table1[[#This Row],[price(USD)]]&gt;295.33,"Premimum",IF(Table1[[#This Row],[price(USD)]]&gt;151.66,"Mid Range","Budget"))</f>
        <v>Budget</v>
      </c>
      <c r="R25" t="str">
        <f>IF(Table1[[#This Row],[Sales Volume]]&gt;2169,"Best Seller",IF(Table1[[#This Row],[Sales Volume]]&gt;1349,"Average","Slow seller"))</f>
        <v>Best Seller</v>
      </c>
    </row>
    <row r="26" spans="1:18">
      <c r="A26">
        <v>195103</v>
      </c>
      <c r="B26" t="s">
        <v>269</v>
      </c>
      <c r="C26" t="s">
        <v>287</v>
      </c>
      <c r="D26" t="s">
        <v>271</v>
      </c>
      <c r="E26" t="s">
        <v>270</v>
      </c>
      <c r="F26">
        <v>2849</v>
      </c>
      <c r="G26" t="s">
        <v>963</v>
      </c>
      <c r="H26" t="s">
        <v>723</v>
      </c>
      <c r="I26" t="s">
        <v>358</v>
      </c>
      <c r="J26" t="s">
        <v>406</v>
      </c>
      <c r="K26">
        <v>109</v>
      </c>
      <c r="L26" t="s">
        <v>276</v>
      </c>
      <c r="M26">
        <f>Table1[[#This Row],[Sales Volume]]*Table1[[#This Row],[price(USD)]]</f>
        <v>310541</v>
      </c>
      <c r="N26" t="s">
        <v>1093</v>
      </c>
      <c r="O26" t="s">
        <v>278</v>
      </c>
      <c r="P26" t="str">
        <f>HYPERLINK(Table1[[#This Row],[url]],Table1[[#This Row],[name]])</f>
        <v>BOUCLÃ‰ TEXTURED JACKET</v>
      </c>
      <c r="Q26" t="str">
        <f>IF(Table1[[#This Row],[price(USD)]]&gt;295.33,"Premimum",IF(Table1[[#This Row],[price(USD)]]&gt;151.66,"Mid Range","Budget"))</f>
        <v>Budget</v>
      </c>
      <c r="R26" t="str">
        <f>IF(Table1[[#This Row],[Sales Volume]]&gt;2169,"Best Seller",IF(Table1[[#This Row],[Sales Volume]]&gt;1349,"Average","Slow seller"))</f>
        <v>Best Seller</v>
      </c>
    </row>
    <row r="27" spans="1:18">
      <c r="A27">
        <v>148888</v>
      </c>
      <c r="B27" t="s">
        <v>307</v>
      </c>
      <c r="C27" t="s">
        <v>270</v>
      </c>
      <c r="D27" t="s">
        <v>271</v>
      </c>
      <c r="E27" t="s">
        <v>270</v>
      </c>
      <c r="F27">
        <v>2774</v>
      </c>
      <c r="G27" t="s">
        <v>395</v>
      </c>
      <c r="H27" t="s">
        <v>396</v>
      </c>
      <c r="I27" t="s">
        <v>397</v>
      </c>
      <c r="J27" t="s">
        <v>398</v>
      </c>
      <c r="K27">
        <v>109</v>
      </c>
      <c r="L27" t="s">
        <v>276</v>
      </c>
      <c r="M27">
        <f>Table1[[#This Row],[Sales Volume]]*Table1[[#This Row],[price(USD)]]</f>
        <v>302366</v>
      </c>
      <c r="N27" t="s">
        <v>277</v>
      </c>
      <c r="O27" t="s">
        <v>278</v>
      </c>
      <c r="P27" t="str">
        <f>HYPERLINK(Table1[[#This Row],[url]],Table1[[#This Row],[name]])</f>
        <v>RIB COLLAR JACKET</v>
      </c>
      <c r="Q27" t="str">
        <f>IF(Table1[[#This Row],[price(USD)]]&gt;295.33,"Premimum",IF(Table1[[#This Row],[price(USD)]]&gt;151.66,"Mid Range","Budget"))</f>
        <v>Budget</v>
      </c>
      <c r="R27" t="str">
        <f>IF(Table1[[#This Row],[Sales Volume]]&gt;2169,"Best Seller",IF(Table1[[#This Row],[Sales Volume]]&gt;1349,"Average","Slow seller"))</f>
        <v>Best Seller</v>
      </c>
    </row>
    <row r="28" spans="1:18">
      <c r="A28">
        <v>195879</v>
      </c>
      <c r="B28" t="s">
        <v>307</v>
      </c>
      <c r="C28" t="s">
        <v>287</v>
      </c>
      <c r="D28" t="s">
        <v>271</v>
      </c>
      <c r="E28" t="s">
        <v>287</v>
      </c>
      <c r="F28">
        <v>2339</v>
      </c>
      <c r="G28" t="s">
        <v>352</v>
      </c>
      <c r="H28" t="s">
        <v>353</v>
      </c>
      <c r="I28" t="s">
        <v>354</v>
      </c>
      <c r="J28" t="s">
        <v>355</v>
      </c>
      <c r="K28">
        <v>129</v>
      </c>
      <c r="L28" t="s">
        <v>276</v>
      </c>
      <c r="M28">
        <f>Table1[[#This Row],[Sales Volume]]*Table1[[#This Row],[price(USD)]]</f>
        <v>301731</v>
      </c>
      <c r="N28" t="s">
        <v>277</v>
      </c>
      <c r="O28" t="s">
        <v>278</v>
      </c>
      <c r="P28" t="str">
        <f>HYPERLINK(Table1[[#This Row],[url]],Table1[[#This Row],[name]])</f>
        <v>DENIM BOMBER JACKET</v>
      </c>
      <c r="Q28" t="str">
        <f>IF(Table1[[#This Row],[price(USD)]]&gt;295.33,"Premimum",IF(Table1[[#This Row],[price(USD)]]&gt;151.66,"Mid Range","Budget"))</f>
        <v>Budget</v>
      </c>
      <c r="R28" t="str">
        <f>IF(Table1[[#This Row],[Sales Volume]]&gt;2169,"Best Seller",IF(Table1[[#This Row],[Sales Volume]]&gt;1349,"Average","Slow seller"))</f>
        <v>Best Seller</v>
      </c>
    </row>
    <row r="29" spans="1:18">
      <c r="A29">
        <v>155050</v>
      </c>
      <c r="B29" t="s">
        <v>269</v>
      </c>
      <c r="C29" t="s">
        <v>270</v>
      </c>
      <c r="D29" t="s">
        <v>271</v>
      </c>
      <c r="E29" t="s">
        <v>287</v>
      </c>
      <c r="F29">
        <v>2321</v>
      </c>
      <c r="G29" t="s">
        <v>356</v>
      </c>
      <c r="H29" t="s">
        <v>357</v>
      </c>
      <c r="I29" t="s">
        <v>358</v>
      </c>
      <c r="J29" t="s">
        <v>359</v>
      </c>
      <c r="K29">
        <v>129</v>
      </c>
      <c r="L29" t="s">
        <v>276</v>
      </c>
      <c r="M29">
        <f>Table1[[#This Row],[Sales Volume]]*Table1[[#This Row],[price(USD)]]</f>
        <v>299409</v>
      </c>
      <c r="N29" t="s">
        <v>277</v>
      </c>
      <c r="O29" t="s">
        <v>278</v>
      </c>
      <c r="P29" t="str">
        <f>HYPERLINK(Table1[[#This Row],[url]],Table1[[#This Row],[name]])</f>
        <v>BOUCLÃ‰ TEXTURED JACKET</v>
      </c>
      <c r="Q29" t="str">
        <f>IF(Table1[[#This Row],[price(USD)]]&gt;295.33,"Premimum",IF(Table1[[#This Row],[price(USD)]]&gt;151.66,"Mid Range","Budget"))</f>
        <v>Budget</v>
      </c>
      <c r="R29" t="str">
        <f>IF(Table1[[#This Row],[Sales Volume]]&gt;2169,"Best Seller",IF(Table1[[#This Row],[Sales Volume]]&gt;1349,"Average","Slow seller"))</f>
        <v>Best Seller</v>
      </c>
    </row>
    <row r="30" spans="1:18">
      <c r="A30">
        <v>134927</v>
      </c>
      <c r="B30" t="s">
        <v>269</v>
      </c>
      <c r="C30" t="s">
        <v>287</v>
      </c>
      <c r="D30" t="s">
        <v>271</v>
      </c>
      <c r="E30" t="s">
        <v>287</v>
      </c>
      <c r="F30">
        <v>2252</v>
      </c>
      <c r="G30" t="s">
        <v>407</v>
      </c>
      <c r="H30" t="s">
        <v>408</v>
      </c>
      <c r="I30" t="s">
        <v>389</v>
      </c>
      <c r="J30" t="s">
        <v>409</v>
      </c>
      <c r="K30">
        <v>129</v>
      </c>
      <c r="L30" t="s">
        <v>276</v>
      </c>
      <c r="M30">
        <f>Table1[[#This Row],[Sales Volume]]*Table1[[#This Row],[price(USD)]]</f>
        <v>290508</v>
      </c>
      <c r="N30" t="s">
        <v>277</v>
      </c>
      <c r="O30" t="s">
        <v>278</v>
      </c>
      <c r="P30" t="str">
        <f>HYPERLINK(Table1[[#This Row],[url]],Table1[[#This Row],[name]])</f>
        <v>PATCH BOMBER JACKET</v>
      </c>
      <c r="Q30" t="str">
        <f>IF(Table1[[#This Row],[price(USD)]]&gt;295.33,"Premimum",IF(Table1[[#This Row],[price(USD)]]&gt;151.66,"Mid Range","Budget"))</f>
        <v>Budget</v>
      </c>
      <c r="R30" t="str">
        <f>IF(Table1[[#This Row],[Sales Volume]]&gt;2169,"Best Seller",IF(Table1[[#This Row],[Sales Volume]]&gt;1349,"Average","Slow seller"))</f>
        <v>Best Seller</v>
      </c>
    </row>
    <row r="31" spans="1:18">
      <c r="A31">
        <v>180176</v>
      </c>
      <c r="B31" t="s">
        <v>286</v>
      </c>
      <c r="C31" t="s">
        <v>287</v>
      </c>
      <c r="D31" t="s">
        <v>271</v>
      </c>
      <c r="E31" t="s">
        <v>287</v>
      </c>
      <c r="F31">
        <v>2220</v>
      </c>
      <c r="G31" t="s">
        <v>288</v>
      </c>
      <c r="H31" t="s">
        <v>289</v>
      </c>
      <c r="I31" t="s">
        <v>290</v>
      </c>
      <c r="J31" t="s">
        <v>291</v>
      </c>
      <c r="K31">
        <v>129</v>
      </c>
      <c r="L31" t="s">
        <v>276</v>
      </c>
      <c r="M31">
        <f>Table1[[#This Row],[Sales Volume]]*Table1[[#This Row],[price(USD)]]</f>
        <v>286380</v>
      </c>
      <c r="N31" t="s">
        <v>277</v>
      </c>
      <c r="O31" t="s">
        <v>278</v>
      </c>
      <c r="P31" t="str">
        <f>HYPERLINK(Table1[[#This Row],[url]],Table1[[#This Row],[name]])</f>
        <v>SLIM FIT SUIT JACKET</v>
      </c>
      <c r="Q31" t="str">
        <f>IF(Table1[[#This Row],[price(USD)]]&gt;295.33,"Premimum",IF(Table1[[#This Row],[price(USD)]]&gt;151.66,"Mid Range","Budget"))</f>
        <v>Budget</v>
      </c>
      <c r="R31" t="str">
        <f>IF(Table1[[#This Row],[Sales Volume]]&gt;2169,"Best Seller",IF(Table1[[#This Row],[Sales Volume]]&gt;1349,"Average","Slow seller"))</f>
        <v>Best Seller</v>
      </c>
    </row>
    <row r="32" spans="1:18">
      <c r="A32">
        <v>159145</v>
      </c>
      <c r="B32" t="s">
        <v>286</v>
      </c>
      <c r="C32" t="s">
        <v>287</v>
      </c>
      <c r="D32" t="s">
        <v>271</v>
      </c>
      <c r="E32" t="s">
        <v>270</v>
      </c>
      <c r="F32">
        <v>2579</v>
      </c>
      <c r="G32" t="s">
        <v>414</v>
      </c>
      <c r="H32" t="s">
        <v>415</v>
      </c>
      <c r="I32" t="s">
        <v>310</v>
      </c>
      <c r="J32" t="s">
        <v>416</v>
      </c>
      <c r="K32">
        <v>109</v>
      </c>
      <c r="L32" t="s">
        <v>276</v>
      </c>
      <c r="M32">
        <f>Table1[[#This Row],[Sales Volume]]*Table1[[#This Row],[price(USD)]]</f>
        <v>281111</v>
      </c>
      <c r="N32" t="s">
        <v>277</v>
      </c>
      <c r="O32" t="s">
        <v>278</v>
      </c>
      <c r="P32" t="str">
        <f>HYPERLINK(Table1[[#This Row],[url]],Table1[[#This Row],[name]])</f>
        <v>FAUX LEATHER PUFFER JACKET</v>
      </c>
      <c r="Q32" t="str">
        <f>IF(Table1[[#This Row],[price(USD)]]&gt;295.33,"Premimum",IF(Table1[[#This Row],[price(USD)]]&gt;151.66,"Mid Range","Budget"))</f>
        <v>Budget</v>
      </c>
      <c r="R32" t="str">
        <f>IF(Table1[[#This Row],[Sales Volume]]&gt;2169,"Best Seller",IF(Table1[[#This Row],[Sales Volume]]&gt;1349,"Average","Slow seller"))</f>
        <v>Best Seller</v>
      </c>
    </row>
    <row r="33" spans="1:18">
      <c r="A33">
        <v>123150</v>
      </c>
      <c r="B33" t="s">
        <v>286</v>
      </c>
      <c r="C33" t="s">
        <v>287</v>
      </c>
      <c r="D33" t="s">
        <v>271</v>
      </c>
      <c r="E33" t="s">
        <v>270</v>
      </c>
      <c r="F33">
        <v>2074</v>
      </c>
      <c r="G33" t="s">
        <v>410</v>
      </c>
      <c r="H33" t="s">
        <v>411</v>
      </c>
      <c r="I33" t="s">
        <v>412</v>
      </c>
      <c r="J33" t="s">
        <v>413</v>
      </c>
      <c r="K33">
        <v>129</v>
      </c>
      <c r="L33" t="s">
        <v>276</v>
      </c>
      <c r="M33">
        <f>Table1[[#This Row],[Sales Volume]]*Table1[[#This Row],[price(USD)]]</f>
        <v>267546</v>
      </c>
      <c r="N33" t="s">
        <v>277</v>
      </c>
      <c r="O33" t="s">
        <v>278</v>
      </c>
      <c r="P33" t="str">
        <f>HYPERLINK(Table1[[#This Row],[url]],Table1[[#This Row],[name]])</f>
        <v>CROPPED BOMBER JACKET LIMITED EDITION</v>
      </c>
      <c r="Q33" t="str">
        <f>IF(Table1[[#This Row],[price(USD)]]&gt;295.33,"Premimum",IF(Table1[[#This Row],[price(USD)]]&gt;151.66,"Mid Range","Budget"))</f>
        <v>Budget</v>
      </c>
      <c r="R33" t="str">
        <f>IF(Table1[[#This Row],[Sales Volume]]&gt;2169,"Best Seller",IF(Table1[[#This Row],[Sales Volume]]&gt;1349,"Average","Slow seller"))</f>
        <v>Average</v>
      </c>
    </row>
    <row r="34" spans="1:18">
      <c r="A34">
        <v>133757</v>
      </c>
      <c r="B34" t="s">
        <v>269</v>
      </c>
      <c r="C34" t="s">
        <v>287</v>
      </c>
      <c r="D34" t="s">
        <v>271</v>
      </c>
      <c r="E34" t="s">
        <v>270</v>
      </c>
      <c r="F34">
        <v>2071</v>
      </c>
      <c r="G34" t="s">
        <v>446</v>
      </c>
      <c r="H34" t="s">
        <v>447</v>
      </c>
      <c r="I34" t="s">
        <v>448</v>
      </c>
      <c r="J34" t="s">
        <v>449</v>
      </c>
      <c r="K34">
        <v>129</v>
      </c>
      <c r="L34" t="s">
        <v>276</v>
      </c>
      <c r="M34">
        <f>Table1[[#This Row],[Sales Volume]]*Table1[[#This Row],[price(USD)]]</f>
        <v>267159</v>
      </c>
      <c r="N34" t="s">
        <v>277</v>
      </c>
      <c r="O34" t="s">
        <v>278</v>
      </c>
      <c r="P34" t="str">
        <f>HYPERLINK(Table1[[#This Row],[url]],Table1[[#This Row],[name]])</f>
        <v>POCKET PUFFER JACKET</v>
      </c>
      <c r="Q34" t="str">
        <f>IF(Table1[[#This Row],[price(USD)]]&gt;295.33,"Premimum",IF(Table1[[#This Row],[price(USD)]]&gt;151.66,"Mid Range","Budget"))</f>
        <v>Budget</v>
      </c>
      <c r="R34" t="str">
        <f>IF(Table1[[#This Row],[Sales Volume]]&gt;2169,"Best Seller",IF(Table1[[#This Row],[Sales Volume]]&gt;1349,"Average","Slow seller"))</f>
        <v>Average</v>
      </c>
    </row>
    <row r="35" spans="1:18">
      <c r="A35">
        <v>126806</v>
      </c>
      <c r="B35" t="s">
        <v>286</v>
      </c>
      <c r="C35" t="s">
        <v>287</v>
      </c>
      <c r="D35" t="s">
        <v>271</v>
      </c>
      <c r="E35" t="s">
        <v>287</v>
      </c>
      <c r="F35">
        <v>2404</v>
      </c>
      <c r="G35" t="s">
        <v>722</v>
      </c>
      <c r="H35" t="s">
        <v>723</v>
      </c>
      <c r="I35" t="s">
        <v>603</v>
      </c>
      <c r="J35" t="s">
        <v>724</v>
      </c>
      <c r="K35">
        <v>109</v>
      </c>
      <c r="L35" t="s">
        <v>276</v>
      </c>
      <c r="M35">
        <f>Table1[[#This Row],[Sales Volume]]*Table1[[#This Row],[price(USD)]]</f>
        <v>262036</v>
      </c>
      <c r="N35" t="s">
        <v>277</v>
      </c>
      <c r="O35" t="s">
        <v>278</v>
      </c>
      <c r="P35" t="str">
        <f>HYPERLINK(Table1[[#This Row],[url]],Table1[[#This Row],[name]])</f>
        <v>POCKET OVERSHIRT</v>
      </c>
      <c r="Q35" t="str">
        <f>IF(Table1[[#This Row],[price(USD)]]&gt;295.33,"Premimum",IF(Table1[[#This Row],[price(USD)]]&gt;151.66,"Mid Range","Budget"))</f>
        <v>Budget</v>
      </c>
      <c r="R35" t="str">
        <f>IF(Table1[[#This Row],[Sales Volume]]&gt;2169,"Best Seller",IF(Table1[[#This Row],[Sales Volume]]&gt;1349,"Average","Slow seller"))</f>
        <v>Best Seller</v>
      </c>
    </row>
    <row r="36" spans="1:18">
      <c r="A36">
        <v>183243</v>
      </c>
      <c r="B36" t="s">
        <v>307</v>
      </c>
      <c r="C36" t="s">
        <v>287</v>
      </c>
      <c r="D36" t="s">
        <v>271</v>
      </c>
      <c r="E36" t="s">
        <v>270</v>
      </c>
      <c r="F36">
        <v>1524</v>
      </c>
      <c r="G36" t="s">
        <v>379</v>
      </c>
      <c r="H36" t="s">
        <v>380</v>
      </c>
      <c r="I36" t="s">
        <v>381</v>
      </c>
      <c r="J36" t="s">
        <v>382</v>
      </c>
      <c r="K36">
        <v>169</v>
      </c>
      <c r="L36" t="s">
        <v>276</v>
      </c>
      <c r="M36">
        <f>Table1[[#This Row],[Sales Volume]]*Table1[[#This Row],[price(USD)]]</f>
        <v>257556</v>
      </c>
      <c r="N36" t="s">
        <v>277</v>
      </c>
      <c r="O36" t="s">
        <v>278</v>
      </c>
      <c r="P36" t="str">
        <f>HYPERLINK(Table1[[#This Row],[url]],Table1[[#This Row],[name]])</f>
        <v>SUIT JACKET</v>
      </c>
      <c r="Q36" t="str">
        <f>IF(Table1[[#This Row],[price(USD)]]&gt;295.33,"Premimum",IF(Table1[[#This Row],[price(USD)]]&gt;151.66,"Mid Range","Budget"))</f>
        <v>Mid Range</v>
      </c>
      <c r="R36" t="str">
        <f>IF(Table1[[#This Row],[Sales Volume]]&gt;2169,"Best Seller",IF(Table1[[#This Row],[Sales Volume]]&gt;1349,"Average","Slow seller"))</f>
        <v>Average</v>
      </c>
    </row>
    <row r="37" spans="1:18">
      <c r="A37">
        <v>133183</v>
      </c>
      <c r="B37" t="s">
        <v>307</v>
      </c>
      <c r="C37" t="s">
        <v>287</v>
      </c>
      <c r="D37" t="s">
        <v>271</v>
      </c>
      <c r="E37" t="s">
        <v>287</v>
      </c>
      <c r="F37">
        <v>2859</v>
      </c>
      <c r="G37" t="s">
        <v>494</v>
      </c>
      <c r="H37" t="s">
        <v>495</v>
      </c>
      <c r="I37" t="s">
        <v>496</v>
      </c>
      <c r="J37" t="s">
        <v>497</v>
      </c>
      <c r="K37">
        <v>89.9</v>
      </c>
      <c r="L37" t="s">
        <v>276</v>
      </c>
      <c r="M37">
        <f>Table1[[#This Row],[Sales Volume]]*Table1[[#This Row],[price(USD)]]</f>
        <v>257024.1</v>
      </c>
      <c r="N37" t="s">
        <v>277</v>
      </c>
      <c r="O37" t="s">
        <v>278</v>
      </c>
      <c r="P37" t="str">
        <f>HYPERLINK(Table1[[#This Row],[url]],Table1[[#This Row],[name]])</f>
        <v>COTTON BLEND BOMBER JACKET</v>
      </c>
      <c r="Q37" t="str">
        <f>IF(Table1[[#This Row],[price(USD)]]&gt;295.33,"Premimum",IF(Table1[[#This Row],[price(USD)]]&gt;151.66,"Mid Range","Budget"))</f>
        <v>Budget</v>
      </c>
      <c r="R37" t="str">
        <f>IF(Table1[[#This Row],[Sales Volume]]&gt;2169,"Best Seller",IF(Table1[[#This Row],[Sales Volume]]&gt;1349,"Average","Slow seller"))</f>
        <v>Best Seller</v>
      </c>
    </row>
    <row r="38" spans="1:18">
      <c r="A38">
        <v>111521</v>
      </c>
      <c r="B38" t="s">
        <v>307</v>
      </c>
      <c r="C38" t="s">
        <v>287</v>
      </c>
      <c r="D38" t="s">
        <v>271</v>
      </c>
      <c r="E38" t="s">
        <v>287</v>
      </c>
      <c r="F38">
        <v>2553</v>
      </c>
      <c r="G38" t="s">
        <v>646</v>
      </c>
      <c r="H38" t="s">
        <v>647</v>
      </c>
      <c r="I38" t="s">
        <v>648</v>
      </c>
      <c r="J38" t="s">
        <v>649</v>
      </c>
      <c r="K38">
        <v>99.9</v>
      </c>
      <c r="L38" t="s">
        <v>276</v>
      </c>
      <c r="M38">
        <f>Table1[[#This Row],[Sales Volume]]*Table1[[#This Row],[price(USD)]]</f>
        <v>255044.7</v>
      </c>
      <c r="N38" t="s">
        <v>277</v>
      </c>
      <c r="O38" t="s">
        <v>278</v>
      </c>
      <c r="P38" t="str">
        <f>HYPERLINK(Table1[[#This Row],[url]],Table1[[#This Row],[name]])</f>
        <v>WASHED TECHNICAL JACKET</v>
      </c>
      <c r="Q38" t="str">
        <f>IF(Table1[[#This Row],[price(USD)]]&gt;295.33,"Premimum",IF(Table1[[#This Row],[price(USD)]]&gt;151.66,"Mid Range","Budget"))</f>
        <v>Budget</v>
      </c>
      <c r="R38" t="str">
        <f>IF(Table1[[#This Row],[Sales Volume]]&gt;2169,"Best Seller",IF(Table1[[#This Row],[Sales Volume]]&gt;1349,"Average","Slow seller"))</f>
        <v>Best Seller</v>
      </c>
    </row>
    <row r="39" spans="1:18">
      <c r="A39">
        <v>147051</v>
      </c>
      <c r="B39" t="s">
        <v>307</v>
      </c>
      <c r="C39" t="s">
        <v>270</v>
      </c>
      <c r="D39" t="s">
        <v>271</v>
      </c>
      <c r="E39" t="s">
        <v>270</v>
      </c>
      <c r="F39">
        <v>2325</v>
      </c>
      <c r="G39" t="s">
        <v>759</v>
      </c>
      <c r="H39" t="s">
        <v>760</v>
      </c>
      <c r="I39" t="s">
        <v>761</v>
      </c>
      <c r="J39" t="s">
        <v>762</v>
      </c>
      <c r="K39">
        <v>109</v>
      </c>
      <c r="L39" t="s">
        <v>276</v>
      </c>
      <c r="M39">
        <f>Table1[[#This Row],[Sales Volume]]*Table1[[#This Row],[price(USD)]]</f>
        <v>253425</v>
      </c>
      <c r="N39" t="s">
        <v>277</v>
      </c>
      <c r="O39" t="s">
        <v>278</v>
      </c>
      <c r="P39" t="str">
        <f>HYPERLINK(Table1[[#This Row],[url]],Table1[[#This Row],[name]])</f>
        <v>QUILTED STRUCTURED OVERSHIRT</v>
      </c>
      <c r="Q39" t="str">
        <f>IF(Table1[[#This Row],[price(USD)]]&gt;295.33,"Premimum",IF(Table1[[#This Row],[price(USD)]]&gt;151.66,"Mid Range","Budget"))</f>
        <v>Budget</v>
      </c>
      <c r="R39" t="str">
        <f>IF(Table1[[#This Row],[Sales Volume]]&gt;2169,"Best Seller",IF(Table1[[#This Row],[Sales Volume]]&gt;1349,"Average","Slow seller"))</f>
        <v>Best Seller</v>
      </c>
    </row>
    <row r="40" spans="1:18">
      <c r="A40">
        <v>182306</v>
      </c>
      <c r="B40" t="s">
        <v>307</v>
      </c>
      <c r="C40" t="s">
        <v>270</v>
      </c>
      <c r="D40" t="s">
        <v>271</v>
      </c>
      <c r="E40" t="s">
        <v>270</v>
      </c>
      <c r="F40">
        <v>2805</v>
      </c>
      <c r="G40" t="s">
        <v>685</v>
      </c>
      <c r="H40" t="s">
        <v>686</v>
      </c>
      <c r="I40" t="s">
        <v>687</v>
      </c>
      <c r="J40" t="s">
        <v>688</v>
      </c>
      <c r="K40">
        <v>89.9</v>
      </c>
      <c r="L40" t="s">
        <v>276</v>
      </c>
      <c r="M40">
        <f>Table1[[#This Row],[Sales Volume]]*Table1[[#This Row],[price(USD)]]</f>
        <v>252169.50000000003</v>
      </c>
      <c r="N40" t="s">
        <v>277</v>
      </c>
      <c r="O40" t="s">
        <v>278</v>
      </c>
      <c r="P40" t="str">
        <f>HYPERLINK(Table1[[#This Row],[url]],Table1[[#This Row],[name]])</f>
        <v>COTTON OVERSHIRT</v>
      </c>
      <c r="Q40" t="str">
        <f>IF(Table1[[#This Row],[price(USD)]]&gt;295.33,"Premimum",IF(Table1[[#This Row],[price(USD)]]&gt;151.66,"Mid Range","Budget"))</f>
        <v>Budget</v>
      </c>
      <c r="R40" t="str">
        <f>IF(Table1[[#This Row],[Sales Volume]]&gt;2169,"Best Seller",IF(Table1[[#This Row],[Sales Volume]]&gt;1349,"Average","Slow seller"))</f>
        <v>Best Seller</v>
      </c>
    </row>
    <row r="41" spans="1:18">
      <c r="A41">
        <v>183074</v>
      </c>
      <c r="B41" t="s">
        <v>269</v>
      </c>
      <c r="C41" t="s">
        <v>270</v>
      </c>
      <c r="D41" t="s">
        <v>271</v>
      </c>
      <c r="E41" t="s">
        <v>270</v>
      </c>
      <c r="F41">
        <v>2791</v>
      </c>
      <c r="G41" t="s">
        <v>589</v>
      </c>
      <c r="H41" t="s">
        <v>590</v>
      </c>
      <c r="I41" t="s">
        <v>591</v>
      </c>
      <c r="J41" t="s">
        <v>592</v>
      </c>
      <c r="K41">
        <v>89.9</v>
      </c>
      <c r="L41" t="s">
        <v>276</v>
      </c>
      <c r="M41">
        <f>Table1[[#This Row],[Sales Volume]]*Table1[[#This Row],[price(USD)]]</f>
        <v>250910.90000000002</v>
      </c>
      <c r="N41" t="s">
        <v>277</v>
      </c>
      <c r="O41" t="s">
        <v>278</v>
      </c>
      <c r="P41" t="str">
        <f>HYPERLINK(Table1[[#This Row],[url]],Table1[[#This Row],[name]])</f>
        <v>BOXY FIT DENIM JACKET</v>
      </c>
      <c r="Q41" t="str">
        <f>IF(Table1[[#This Row],[price(USD)]]&gt;295.33,"Premimum",IF(Table1[[#This Row],[price(USD)]]&gt;151.66,"Mid Range","Budget"))</f>
        <v>Budget</v>
      </c>
      <c r="R41" t="str">
        <f>IF(Table1[[#This Row],[Sales Volume]]&gt;2169,"Best Seller",IF(Table1[[#This Row],[Sales Volume]]&gt;1349,"Average","Slow seller"))</f>
        <v>Best Seller</v>
      </c>
    </row>
    <row r="42" spans="1:18">
      <c r="A42">
        <v>144651</v>
      </c>
      <c r="B42" t="s">
        <v>269</v>
      </c>
      <c r="C42" t="s">
        <v>287</v>
      </c>
      <c r="D42" t="s">
        <v>271</v>
      </c>
      <c r="E42" t="s">
        <v>270</v>
      </c>
      <c r="F42">
        <v>1791</v>
      </c>
      <c r="G42" t="s">
        <v>959</v>
      </c>
      <c r="H42" t="s">
        <v>719</v>
      </c>
      <c r="I42" t="s">
        <v>354</v>
      </c>
      <c r="J42" t="s">
        <v>738</v>
      </c>
      <c r="K42">
        <v>139</v>
      </c>
      <c r="L42" t="s">
        <v>276</v>
      </c>
      <c r="M42">
        <f>Table1[[#This Row],[Sales Volume]]*Table1[[#This Row],[price(USD)]]</f>
        <v>248949</v>
      </c>
      <c r="N42" t="s">
        <v>1093</v>
      </c>
      <c r="O42" t="s">
        <v>278</v>
      </c>
      <c r="P42" t="str">
        <f>HYPERLINK(Table1[[#This Row],[url]],Table1[[#This Row],[name]])</f>
        <v>DENIM BOMBER JACKET</v>
      </c>
      <c r="Q42" t="str">
        <f>IF(Table1[[#This Row],[price(USD)]]&gt;295.33,"Premimum",IF(Table1[[#This Row],[price(USD)]]&gt;151.66,"Mid Range","Budget"))</f>
        <v>Budget</v>
      </c>
      <c r="R42" t="str">
        <f>IF(Table1[[#This Row],[Sales Volume]]&gt;2169,"Best Seller",IF(Table1[[#This Row],[Sales Volume]]&gt;1349,"Average","Slow seller"))</f>
        <v>Average</v>
      </c>
    </row>
    <row r="43" spans="1:18">
      <c r="A43">
        <v>117751</v>
      </c>
      <c r="B43" t="s">
        <v>269</v>
      </c>
      <c r="C43" t="s">
        <v>270</v>
      </c>
      <c r="D43" t="s">
        <v>271</v>
      </c>
      <c r="E43" t="s">
        <v>270</v>
      </c>
      <c r="F43">
        <v>2749</v>
      </c>
      <c r="G43" t="s">
        <v>545</v>
      </c>
      <c r="H43" t="s">
        <v>546</v>
      </c>
      <c r="I43" t="s">
        <v>547</v>
      </c>
      <c r="J43" t="s">
        <v>548</v>
      </c>
      <c r="K43">
        <v>89.9</v>
      </c>
      <c r="L43" t="s">
        <v>276</v>
      </c>
      <c r="M43">
        <f>Table1[[#This Row],[Sales Volume]]*Table1[[#This Row],[price(USD)]]</f>
        <v>247135.1</v>
      </c>
      <c r="N43" t="s">
        <v>277</v>
      </c>
      <c r="O43" t="s">
        <v>278</v>
      </c>
      <c r="P43" t="str">
        <f>HYPERLINK(Table1[[#This Row],[url]],Table1[[#This Row],[name]])</f>
        <v>CONTRAST JACQUARD JACKET</v>
      </c>
      <c r="Q43" t="str">
        <f>IF(Table1[[#This Row],[price(USD)]]&gt;295.33,"Premimum",IF(Table1[[#This Row],[price(USD)]]&gt;151.66,"Mid Range","Budget"))</f>
        <v>Budget</v>
      </c>
      <c r="R43" t="str">
        <f>IF(Table1[[#This Row],[Sales Volume]]&gt;2169,"Best Seller",IF(Table1[[#This Row],[Sales Volume]]&gt;1349,"Average","Slow seller"))</f>
        <v>Best Seller</v>
      </c>
    </row>
    <row r="44" spans="1:18">
      <c r="A44">
        <v>154278</v>
      </c>
      <c r="B44" t="s">
        <v>286</v>
      </c>
      <c r="C44" t="s">
        <v>270</v>
      </c>
      <c r="D44" t="s">
        <v>271</v>
      </c>
      <c r="E44" t="s">
        <v>287</v>
      </c>
      <c r="F44">
        <v>2749</v>
      </c>
      <c r="G44" t="s">
        <v>739</v>
      </c>
      <c r="H44" t="s">
        <v>740</v>
      </c>
      <c r="I44" t="s">
        <v>741</v>
      </c>
      <c r="J44" t="s">
        <v>742</v>
      </c>
      <c r="K44">
        <v>89.9</v>
      </c>
      <c r="L44" t="s">
        <v>276</v>
      </c>
      <c r="M44">
        <f>Table1[[#This Row],[Sales Volume]]*Table1[[#This Row],[price(USD)]]</f>
        <v>247135.1</v>
      </c>
      <c r="N44" t="s">
        <v>277</v>
      </c>
      <c r="O44" t="s">
        <v>278</v>
      </c>
      <c r="P44" t="str">
        <f>HYPERLINK(Table1[[#This Row],[url]],Table1[[#This Row],[name]])</f>
        <v>GEOMETRIC JACQUARD OVERSHIRT</v>
      </c>
      <c r="Q44" t="str">
        <f>IF(Table1[[#This Row],[price(USD)]]&gt;295.33,"Premimum",IF(Table1[[#This Row],[price(USD)]]&gt;151.66,"Mid Range","Budget"))</f>
        <v>Budget</v>
      </c>
      <c r="R44" t="str">
        <f>IF(Table1[[#This Row],[Sales Volume]]&gt;2169,"Best Seller",IF(Table1[[#This Row],[Sales Volume]]&gt;1349,"Average","Slow seller"))</f>
        <v>Best Seller</v>
      </c>
    </row>
    <row r="45" spans="1:18">
      <c r="A45">
        <v>162699</v>
      </c>
      <c r="B45" t="s">
        <v>286</v>
      </c>
      <c r="C45" t="s">
        <v>270</v>
      </c>
      <c r="D45" t="s">
        <v>271</v>
      </c>
      <c r="E45" t="s">
        <v>287</v>
      </c>
      <c r="F45">
        <v>2732</v>
      </c>
      <c r="G45" t="s">
        <v>939</v>
      </c>
      <c r="H45" t="s">
        <v>701</v>
      </c>
      <c r="I45" t="s">
        <v>334</v>
      </c>
      <c r="J45" t="s">
        <v>910</v>
      </c>
      <c r="K45">
        <v>89.9</v>
      </c>
      <c r="L45" t="s">
        <v>276</v>
      </c>
      <c r="M45">
        <f>Table1[[#This Row],[Sales Volume]]*Table1[[#This Row],[price(USD)]]</f>
        <v>245606.80000000002</v>
      </c>
      <c r="N45" t="s">
        <v>893</v>
      </c>
      <c r="O45" t="s">
        <v>278</v>
      </c>
      <c r="P45" t="str">
        <f>HYPERLINK(Table1[[#This Row],[url]],Table1[[#This Row],[name]])</f>
        <v>LEATHER BIKER JACKET</v>
      </c>
      <c r="Q45" t="str">
        <f>IF(Table1[[#This Row],[price(USD)]]&gt;295.33,"Premimum",IF(Table1[[#This Row],[price(USD)]]&gt;151.66,"Mid Range","Budget"))</f>
        <v>Budget</v>
      </c>
      <c r="R45" t="str">
        <f>IF(Table1[[#This Row],[Sales Volume]]&gt;2169,"Best Seller",IF(Table1[[#This Row],[Sales Volume]]&gt;1349,"Average","Slow seller"))</f>
        <v>Best Seller</v>
      </c>
    </row>
    <row r="46" spans="1:18">
      <c r="A46">
        <v>133100</v>
      </c>
      <c r="B46" t="s">
        <v>286</v>
      </c>
      <c r="C46" t="s">
        <v>287</v>
      </c>
      <c r="D46" t="s">
        <v>271</v>
      </c>
      <c r="E46" t="s">
        <v>270</v>
      </c>
      <c r="F46">
        <v>2729</v>
      </c>
      <c r="G46" t="s">
        <v>471</v>
      </c>
      <c r="H46" t="s">
        <v>472</v>
      </c>
      <c r="I46" t="s">
        <v>473</v>
      </c>
      <c r="J46" t="s">
        <v>474</v>
      </c>
      <c r="K46">
        <v>89.9</v>
      </c>
      <c r="L46" t="s">
        <v>276</v>
      </c>
      <c r="M46">
        <f>Table1[[#This Row],[Sales Volume]]*Table1[[#This Row],[price(USD)]]</f>
        <v>245337.1</v>
      </c>
      <c r="N46" t="s">
        <v>277</v>
      </c>
      <c r="O46" t="s">
        <v>278</v>
      </c>
      <c r="P46" t="str">
        <f>HYPERLINK(Table1[[#This Row],[url]],Table1[[#This Row],[name]])</f>
        <v>PUFFER JACKET WITH POUCH POCKET</v>
      </c>
      <c r="Q46" t="str">
        <f>IF(Table1[[#This Row],[price(USD)]]&gt;295.33,"Premimum",IF(Table1[[#This Row],[price(USD)]]&gt;151.66,"Mid Range","Budget"))</f>
        <v>Budget</v>
      </c>
      <c r="R46" t="str">
        <f>IF(Table1[[#This Row],[Sales Volume]]&gt;2169,"Best Seller",IF(Table1[[#This Row],[Sales Volume]]&gt;1349,"Average","Slow seller"))</f>
        <v>Best Seller</v>
      </c>
    </row>
    <row r="47" spans="1:18">
      <c r="A47">
        <v>112194</v>
      </c>
      <c r="B47" t="s">
        <v>269</v>
      </c>
      <c r="C47" t="s">
        <v>287</v>
      </c>
      <c r="D47" t="s">
        <v>271</v>
      </c>
      <c r="E47" t="s">
        <v>287</v>
      </c>
      <c r="F47">
        <v>2187</v>
      </c>
      <c r="G47" t="s">
        <v>999</v>
      </c>
      <c r="H47" t="s">
        <v>756</v>
      </c>
      <c r="I47" t="s">
        <v>393</v>
      </c>
      <c r="J47" t="s">
        <v>390</v>
      </c>
      <c r="K47">
        <v>109</v>
      </c>
      <c r="L47" t="s">
        <v>276</v>
      </c>
      <c r="M47">
        <f>Table1[[#This Row],[Sales Volume]]*Table1[[#This Row],[price(USD)]]</f>
        <v>238383</v>
      </c>
      <c r="N47" t="s">
        <v>277</v>
      </c>
      <c r="O47" t="s">
        <v>278</v>
      </c>
      <c r="P47" t="str">
        <f>HYPERLINK(Table1[[#This Row],[url]],Table1[[#This Row],[name]])</f>
        <v>STRETCH POCKET OVERSHIRT</v>
      </c>
      <c r="Q47" t="str">
        <f>IF(Table1[[#This Row],[price(USD)]]&gt;295.33,"Premimum",IF(Table1[[#This Row],[price(USD)]]&gt;151.66,"Mid Range","Budget"))</f>
        <v>Budget</v>
      </c>
      <c r="R47" t="str">
        <f>IF(Table1[[#This Row],[Sales Volume]]&gt;2169,"Best Seller",IF(Table1[[#This Row],[Sales Volume]]&gt;1349,"Average","Slow seller"))</f>
        <v>Best Seller</v>
      </c>
    </row>
    <row r="48" spans="1:18">
      <c r="A48">
        <v>117590</v>
      </c>
      <c r="B48" t="s">
        <v>286</v>
      </c>
      <c r="C48" t="s">
        <v>270</v>
      </c>
      <c r="D48" t="s">
        <v>271</v>
      </c>
      <c r="E48" t="s">
        <v>270</v>
      </c>
      <c r="F48">
        <v>2968</v>
      </c>
      <c r="G48" t="s">
        <v>303</v>
      </c>
      <c r="H48" t="s">
        <v>304</v>
      </c>
      <c r="I48" t="s">
        <v>305</v>
      </c>
      <c r="J48" t="s">
        <v>306</v>
      </c>
      <c r="K48">
        <v>79.900000000000006</v>
      </c>
      <c r="L48" t="s">
        <v>276</v>
      </c>
      <c r="M48">
        <f>Table1[[#This Row],[Sales Volume]]*Table1[[#This Row],[price(USD)]]</f>
        <v>237143.2</v>
      </c>
      <c r="N48" t="s">
        <v>277</v>
      </c>
      <c r="O48" t="s">
        <v>278</v>
      </c>
      <c r="P48" t="str">
        <f>HYPERLINK(Table1[[#This Row],[url]],Table1[[#This Row],[name]])</f>
        <v>CONTRASTING COLLAR JACKET</v>
      </c>
      <c r="Q48" t="str">
        <f>IF(Table1[[#This Row],[price(USD)]]&gt;295.33,"Premimum",IF(Table1[[#This Row],[price(USD)]]&gt;151.66,"Mid Range","Budget"))</f>
        <v>Budget</v>
      </c>
      <c r="R48" t="str">
        <f>IF(Table1[[#This Row],[Sales Volume]]&gt;2169,"Best Seller",IF(Table1[[#This Row],[Sales Volume]]&gt;1349,"Average","Slow seller"))</f>
        <v>Best Seller</v>
      </c>
    </row>
    <row r="49" spans="1:18">
      <c r="A49">
        <v>173576</v>
      </c>
      <c r="B49" t="s">
        <v>286</v>
      </c>
      <c r="C49" t="s">
        <v>287</v>
      </c>
      <c r="D49" t="s">
        <v>271</v>
      </c>
      <c r="E49" t="s">
        <v>270</v>
      </c>
      <c r="F49">
        <v>1838</v>
      </c>
      <c r="G49" t="s">
        <v>561</v>
      </c>
      <c r="H49" t="s">
        <v>562</v>
      </c>
      <c r="K49">
        <v>129</v>
      </c>
      <c r="L49" t="s">
        <v>276</v>
      </c>
      <c r="M49">
        <f>Table1[[#This Row],[Sales Volume]]*Table1[[#This Row],[price(USD)]]</f>
        <v>237102</v>
      </c>
      <c r="N49" t="s">
        <v>277</v>
      </c>
      <c r="O49" t="s">
        <v>278</v>
      </c>
      <c r="P49">
        <f>HYPERLINK(Table1[[#This Row],[url]],Table1[[#This Row],[name]])</f>
        <v>0</v>
      </c>
      <c r="Q49" t="str">
        <f>IF(Table1[[#This Row],[price(USD)]]&gt;295.33,"Premimum",IF(Table1[[#This Row],[price(USD)]]&gt;151.66,"Mid Range","Budget"))</f>
        <v>Budget</v>
      </c>
      <c r="R49" t="str">
        <f>IF(Table1[[#This Row],[Sales Volume]]&gt;2169,"Best Seller",IF(Table1[[#This Row],[Sales Volume]]&gt;1349,"Average","Slow seller"))</f>
        <v>Average</v>
      </c>
    </row>
    <row r="50" spans="1:18">
      <c r="A50">
        <v>196427</v>
      </c>
      <c r="B50" t="s">
        <v>269</v>
      </c>
      <c r="C50" t="s">
        <v>287</v>
      </c>
      <c r="D50" t="s">
        <v>271</v>
      </c>
      <c r="E50" t="s">
        <v>270</v>
      </c>
      <c r="F50">
        <v>1401</v>
      </c>
      <c r="G50" t="s">
        <v>669</v>
      </c>
      <c r="H50" t="s">
        <v>670</v>
      </c>
      <c r="I50" t="s">
        <v>671</v>
      </c>
      <c r="J50" t="s">
        <v>672</v>
      </c>
      <c r="K50">
        <v>169</v>
      </c>
      <c r="L50" t="s">
        <v>276</v>
      </c>
      <c r="M50">
        <f>Table1[[#This Row],[Sales Volume]]*Table1[[#This Row],[price(USD)]]</f>
        <v>236769</v>
      </c>
      <c r="N50" t="s">
        <v>277</v>
      </c>
      <c r="O50" t="s">
        <v>278</v>
      </c>
      <c r="P50" t="str">
        <f>HYPERLINK(Table1[[#This Row],[url]],Table1[[#This Row],[name]])</f>
        <v>WAXED EFFECT PLAID JACKET</v>
      </c>
      <c r="Q50" t="str">
        <f>IF(Table1[[#This Row],[price(USD)]]&gt;295.33,"Premimum",IF(Table1[[#This Row],[price(USD)]]&gt;151.66,"Mid Range","Budget"))</f>
        <v>Mid Range</v>
      </c>
      <c r="R50" t="str">
        <f>IF(Table1[[#This Row],[Sales Volume]]&gt;2169,"Best Seller",IF(Table1[[#This Row],[Sales Volume]]&gt;1349,"Average","Slow seller"))</f>
        <v>Average</v>
      </c>
    </row>
    <row r="51" spans="1:18">
      <c r="A51">
        <v>143231</v>
      </c>
      <c r="B51" t="s">
        <v>269</v>
      </c>
      <c r="C51" t="s">
        <v>270</v>
      </c>
      <c r="D51" t="s">
        <v>271</v>
      </c>
      <c r="E51" t="s">
        <v>270</v>
      </c>
      <c r="F51">
        <v>2578</v>
      </c>
      <c r="G51" t="s">
        <v>582</v>
      </c>
      <c r="H51" t="s">
        <v>583</v>
      </c>
      <c r="I51" t="s">
        <v>570</v>
      </c>
      <c r="J51" t="s">
        <v>584</v>
      </c>
      <c r="K51">
        <v>89.9</v>
      </c>
      <c r="L51" t="s">
        <v>276</v>
      </c>
      <c r="M51">
        <f>Table1[[#This Row],[Sales Volume]]*Table1[[#This Row],[price(USD)]]</f>
        <v>231762.2</v>
      </c>
      <c r="N51" t="s">
        <v>277</v>
      </c>
      <c r="O51" t="s">
        <v>278</v>
      </c>
      <c r="P51" t="str">
        <f>HYPERLINK(Table1[[#This Row],[url]],Table1[[#This Row],[name]])</f>
        <v>TECHNICAL PADDED JACKET</v>
      </c>
      <c r="Q51" t="str">
        <f>IF(Table1[[#This Row],[price(USD)]]&gt;295.33,"Premimum",IF(Table1[[#This Row],[price(USD)]]&gt;151.66,"Mid Range","Budget"))</f>
        <v>Budget</v>
      </c>
      <c r="R51" t="str">
        <f>IF(Table1[[#This Row],[Sales Volume]]&gt;2169,"Best Seller",IF(Table1[[#This Row],[Sales Volume]]&gt;1349,"Average","Slow seller"))</f>
        <v>Best Seller</v>
      </c>
    </row>
    <row r="52" spans="1:18">
      <c r="A52">
        <v>166421</v>
      </c>
      <c r="B52" t="s">
        <v>286</v>
      </c>
      <c r="C52" t="s">
        <v>287</v>
      </c>
      <c r="D52" t="s">
        <v>271</v>
      </c>
      <c r="E52" t="s">
        <v>270</v>
      </c>
      <c r="F52">
        <v>2878</v>
      </c>
      <c r="G52" t="s">
        <v>835</v>
      </c>
      <c r="H52" t="s">
        <v>836</v>
      </c>
      <c r="I52" t="s">
        <v>837</v>
      </c>
      <c r="J52" t="s">
        <v>838</v>
      </c>
      <c r="K52">
        <v>79.900000000000006</v>
      </c>
      <c r="L52" t="s">
        <v>276</v>
      </c>
      <c r="M52">
        <f>Table1[[#This Row],[Sales Volume]]*Table1[[#This Row],[price(USD)]]</f>
        <v>229952.2</v>
      </c>
      <c r="N52" t="s">
        <v>774</v>
      </c>
      <c r="O52" t="s">
        <v>278</v>
      </c>
      <c r="P52" t="str">
        <f>HYPERLINK(Table1[[#This Row],[url]],Table1[[#This Row],[name]])</f>
        <v>HIKING BOOTS</v>
      </c>
      <c r="Q52" t="str">
        <f>IF(Table1[[#This Row],[price(USD)]]&gt;295.33,"Premimum",IF(Table1[[#This Row],[price(USD)]]&gt;151.66,"Mid Range","Budget"))</f>
        <v>Budget</v>
      </c>
      <c r="R52" t="str">
        <f>IF(Table1[[#This Row],[Sales Volume]]&gt;2169,"Best Seller",IF(Table1[[#This Row],[Sales Volume]]&gt;1349,"Average","Slow seller"))</f>
        <v>Best Seller</v>
      </c>
    </row>
    <row r="53" spans="1:18">
      <c r="A53">
        <v>132889</v>
      </c>
      <c r="B53" t="s">
        <v>269</v>
      </c>
      <c r="C53" t="s">
        <v>287</v>
      </c>
      <c r="D53" t="s">
        <v>271</v>
      </c>
      <c r="E53" t="s">
        <v>287</v>
      </c>
      <c r="F53">
        <v>2265</v>
      </c>
      <c r="G53" t="s">
        <v>340</v>
      </c>
      <c r="H53" t="s">
        <v>341</v>
      </c>
      <c r="I53" t="s">
        <v>342</v>
      </c>
      <c r="J53" t="s">
        <v>343</v>
      </c>
      <c r="K53">
        <v>99.9</v>
      </c>
      <c r="L53" t="s">
        <v>276</v>
      </c>
      <c r="M53">
        <f>Table1[[#This Row],[Sales Volume]]*Table1[[#This Row],[price(USD)]]</f>
        <v>226273.5</v>
      </c>
      <c r="N53" t="s">
        <v>277</v>
      </c>
      <c r="O53" t="s">
        <v>278</v>
      </c>
      <c r="P53" t="str">
        <f>HYPERLINK(Table1[[#This Row],[url]],Table1[[#This Row],[name]])</f>
        <v>FAUX LEATHER BOXY FIT JACKET</v>
      </c>
      <c r="Q53" t="str">
        <f>IF(Table1[[#This Row],[price(USD)]]&gt;295.33,"Premimum",IF(Table1[[#This Row],[price(USD)]]&gt;151.66,"Mid Range","Budget"))</f>
        <v>Budget</v>
      </c>
      <c r="R53" t="str">
        <f>IF(Table1[[#This Row],[Sales Volume]]&gt;2169,"Best Seller",IF(Table1[[#This Row],[Sales Volume]]&gt;1349,"Average","Slow seller"))</f>
        <v>Best Seller</v>
      </c>
    </row>
    <row r="54" spans="1:18">
      <c r="A54">
        <v>154224</v>
      </c>
      <c r="B54" t="s">
        <v>286</v>
      </c>
      <c r="C54" t="s">
        <v>287</v>
      </c>
      <c r="D54" t="s">
        <v>271</v>
      </c>
      <c r="E54" t="s">
        <v>270</v>
      </c>
      <c r="F54">
        <v>2474</v>
      </c>
      <c r="G54" t="s">
        <v>700</v>
      </c>
      <c r="H54" t="s">
        <v>701</v>
      </c>
      <c r="I54" t="s">
        <v>702</v>
      </c>
      <c r="J54" t="s">
        <v>703</v>
      </c>
      <c r="K54">
        <v>89.9</v>
      </c>
      <c r="L54" t="s">
        <v>276</v>
      </c>
      <c r="M54">
        <f>Table1[[#This Row],[Sales Volume]]*Table1[[#This Row],[price(USD)]]</f>
        <v>222412.6</v>
      </c>
      <c r="N54" t="s">
        <v>277</v>
      </c>
      <c r="O54" t="s">
        <v>278</v>
      </c>
      <c r="P54" t="str">
        <f>HYPERLINK(Table1[[#This Row],[url]],Table1[[#This Row],[name]])</f>
        <v>100% LINEN OVERSHIRT</v>
      </c>
      <c r="Q54" t="str">
        <f>IF(Table1[[#This Row],[price(USD)]]&gt;295.33,"Premimum",IF(Table1[[#This Row],[price(USD)]]&gt;151.66,"Mid Range","Budget"))</f>
        <v>Budget</v>
      </c>
      <c r="R54" t="str">
        <f>IF(Table1[[#This Row],[Sales Volume]]&gt;2169,"Best Seller",IF(Table1[[#This Row],[Sales Volume]]&gt;1349,"Average","Slow seller"))</f>
        <v>Best Seller</v>
      </c>
    </row>
    <row r="55" spans="1:18">
      <c r="A55">
        <v>152174</v>
      </c>
      <c r="B55" t="s">
        <v>286</v>
      </c>
      <c r="C55" t="s">
        <v>270</v>
      </c>
      <c r="D55" t="s">
        <v>271</v>
      </c>
      <c r="E55" t="s">
        <v>270</v>
      </c>
      <c r="F55">
        <v>2226</v>
      </c>
      <c r="G55" t="s">
        <v>344</v>
      </c>
      <c r="H55" t="s">
        <v>345</v>
      </c>
      <c r="I55" t="s">
        <v>346</v>
      </c>
      <c r="J55" t="s">
        <v>347</v>
      </c>
      <c r="K55">
        <v>99.9</v>
      </c>
      <c r="L55" t="s">
        <v>276</v>
      </c>
      <c r="M55">
        <f>Table1[[#This Row],[Sales Volume]]*Table1[[#This Row],[price(USD)]]</f>
        <v>222377.40000000002</v>
      </c>
      <c r="N55" t="s">
        <v>277</v>
      </c>
      <c r="O55" t="s">
        <v>278</v>
      </c>
      <c r="P55" t="str">
        <f>HYPERLINK(Table1[[#This Row],[url]],Table1[[#This Row],[name]])</f>
        <v>FAUX LEATHER JACKET</v>
      </c>
      <c r="Q55" t="str">
        <f>IF(Table1[[#This Row],[price(USD)]]&gt;295.33,"Premimum",IF(Table1[[#This Row],[price(USD)]]&gt;151.66,"Mid Range","Budget"))</f>
        <v>Budget</v>
      </c>
      <c r="R55" t="str">
        <f>IF(Table1[[#This Row],[Sales Volume]]&gt;2169,"Best Seller",IF(Table1[[#This Row],[Sales Volume]]&gt;1349,"Average","Slow seller"))</f>
        <v>Best Seller</v>
      </c>
    </row>
    <row r="56" spans="1:18">
      <c r="A56">
        <v>163610</v>
      </c>
      <c r="B56" t="s">
        <v>307</v>
      </c>
      <c r="C56" t="s">
        <v>287</v>
      </c>
      <c r="D56" t="s">
        <v>271</v>
      </c>
      <c r="E56" t="s">
        <v>270</v>
      </c>
      <c r="F56">
        <v>2466</v>
      </c>
      <c r="G56" t="s">
        <v>823</v>
      </c>
      <c r="H56" t="s">
        <v>824</v>
      </c>
      <c r="I56" t="s">
        <v>825</v>
      </c>
      <c r="J56" t="s">
        <v>826</v>
      </c>
      <c r="K56">
        <v>89.9</v>
      </c>
      <c r="L56" t="s">
        <v>276</v>
      </c>
      <c r="M56">
        <f>Table1[[#This Row],[Sales Volume]]*Table1[[#This Row],[price(USD)]]</f>
        <v>221693.40000000002</v>
      </c>
      <c r="N56" t="s">
        <v>774</v>
      </c>
      <c r="O56" t="s">
        <v>278</v>
      </c>
      <c r="P56" t="str">
        <f>HYPERLINK(Table1[[#This Row],[url]],Table1[[#This Row],[name]])</f>
        <v>MOC-TOE SUEDE BOOTS</v>
      </c>
      <c r="Q56" t="str">
        <f>IF(Table1[[#This Row],[price(USD)]]&gt;295.33,"Premimum",IF(Table1[[#This Row],[price(USD)]]&gt;151.66,"Mid Range","Budget"))</f>
        <v>Budget</v>
      </c>
      <c r="R56" t="str">
        <f>IF(Table1[[#This Row],[Sales Volume]]&gt;2169,"Best Seller",IF(Table1[[#This Row],[Sales Volume]]&gt;1349,"Average","Slow seller"))</f>
        <v>Best Seller</v>
      </c>
    </row>
    <row r="57" spans="1:18">
      <c r="A57">
        <v>173508</v>
      </c>
      <c r="B57" t="s">
        <v>269</v>
      </c>
      <c r="C57" t="s">
        <v>287</v>
      </c>
      <c r="D57" t="s">
        <v>271</v>
      </c>
      <c r="E57" t="s">
        <v>270</v>
      </c>
      <c r="F57">
        <v>1658</v>
      </c>
      <c r="G57" t="s">
        <v>498</v>
      </c>
      <c r="H57" t="s">
        <v>499</v>
      </c>
      <c r="I57" t="s">
        <v>500</v>
      </c>
      <c r="J57" t="s">
        <v>501</v>
      </c>
      <c r="K57">
        <v>129</v>
      </c>
      <c r="L57" t="s">
        <v>276</v>
      </c>
      <c r="M57">
        <f>Table1[[#This Row],[Sales Volume]]*Table1[[#This Row],[price(USD)]]</f>
        <v>213882</v>
      </c>
      <c r="N57" t="s">
        <v>277</v>
      </c>
      <c r="O57" t="s">
        <v>278</v>
      </c>
      <c r="P57" t="str">
        <f>HYPERLINK(Table1[[#This Row],[url]],Table1[[#This Row],[name]])</f>
        <v>POCKET JACKET</v>
      </c>
      <c r="Q57" t="str">
        <f>IF(Table1[[#This Row],[price(USD)]]&gt;295.33,"Premimum",IF(Table1[[#This Row],[price(USD)]]&gt;151.66,"Mid Range","Budget"))</f>
        <v>Budget</v>
      </c>
      <c r="R57" t="str">
        <f>IF(Table1[[#This Row],[Sales Volume]]&gt;2169,"Best Seller",IF(Table1[[#This Row],[Sales Volume]]&gt;1349,"Average","Slow seller"))</f>
        <v>Average</v>
      </c>
    </row>
    <row r="58" spans="1:18">
      <c r="A58">
        <v>120228</v>
      </c>
      <c r="B58" t="s">
        <v>286</v>
      </c>
      <c r="C58" t="s">
        <v>270</v>
      </c>
      <c r="D58" t="s">
        <v>271</v>
      </c>
      <c r="E58" t="s">
        <v>270</v>
      </c>
      <c r="F58">
        <v>2347</v>
      </c>
      <c r="G58" t="s">
        <v>650</v>
      </c>
      <c r="H58" t="s">
        <v>651</v>
      </c>
      <c r="I58" t="s">
        <v>322</v>
      </c>
      <c r="J58" t="s">
        <v>652</v>
      </c>
      <c r="K58">
        <v>89.9</v>
      </c>
      <c r="L58" t="s">
        <v>276</v>
      </c>
      <c r="M58">
        <f>Table1[[#This Row],[Sales Volume]]*Table1[[#This Row],[price(USD)]]</f>
        <v>210995.30000000002</v>
      </c>
      <c r="N58" t="s">
        <v>277</v>
      </c>
      <c r="O58" t="s">
        <v>278</v>
      </c>
      <c r="P58" t="str">
        <f>HYPERLINK(Table1[[#This Row],[url]],Table1[[#This Row],[name]])</f>
        <v>100% FEATHER FILL PUFFER JACKET</v>
      </c>
      <c r="Q58" t="str">
        <f>IF(Table1[[#This Row],[price(USD)]]&gt;295.33,"Premimum",IF(Table1[[#This Row],[price(USD)]]&gt;151.66,"Mid Range","Budget"))</f>
        <v>Budget</v>
      </c>
      <c r="R58" t="str">
        <f>IF(Table1[[#This Row],[Sales Volume]]&gt;2169,"Best Seller",IF(Table1[[#This Row],[Sales Volume]]&gt;1349,"Average","Slow seller"))</f>
        <v>Best Seller</v>
      </c>
    </row>
    <row r="59" spans="1:18">
      <c r="A59">
        <v>127314</v>
      </c>
      <c r="B59" t="s">
        <v>286</v>
      </c>
      <c r="C59" t="s">
        <v>287</v>
      </c>
      <c r="D59" t="s">
        <v>271</v>
      </c>
      <c r="E59" t="s">
        <v>287</v>
      </c>
      <c r="F59">
        <v>2076</v>
      </c>
      <c r="G59" t="s">
        <v>843</v>
      </c>
      <c r="H59" t="s">
        <v>844</v>
      </c>
      <c r="I59" t="s">
        <v>845</v>
      </c>
      <c r="J59" t="s">
        <v>846</v>
      </c>
      <c r="K59">
        <v>99.9</v>
      </c>
      <c r="L59" t="s">
        <v>276</v>
      </c>
      <c r="M59">
        <f>Table1[[#This Row],[Sales Volume]]*Table1[[#This Row],[price(USD)]]</f>
        <v>207392.40000000002</v>
      </c>
      <c r="N59" t="s">
        <v>774</v>
      </c>
      <c r="O59" t="s">
        <v>278</v>
      </c>
      <c r="P59" t="str">
        <f>HYPERLINK(Table1[[#This Row],[url]],Table1[[#This Row],[name]])</f>
        <v>FAUX SHEARLING LINED SUEDE BOOTS</v>
      </c>
      <c r="Q59" t="str">
        <f>IF(Table1[[#This Row],[price(USD)]]&gt;295.33,"Premimum",IF(Table1[[#This Row],[price(USD)]]&gt;151.66,"Mid Range","Budget"))</f>
        <v>Budget</v>
      </c>
      <c r="R59" t="str">
        <f>IF(Table1[[#This Row],[Sales Volume]]&gt;2169,"Best Seller",IF(Table1[[#This Row],[Sales Volume]]&gt;1349,"Average","Slow seller"))</f>
        <v>Average</v>
      </c>
    </row>
    <row r="60" spans="1:18">
      <c r="A60">
        <v>174171</v>
      </c>
      <c r="B60" t="s">
        <v>307</v>
      </c>
      <c r="C60" t="s">
        <v>287</v>
      </c>
      <c r="D60" t="s">
        <v>271</v>
      </c>
      <c r="E60" t="s">
        <v>287</v>
      </c>
      <c r="F60">
        <v>2273</v>
      </c>
      <c r="G60" t="s">
        <v>597</v>
      </c>
      <c r="H60" t="s">
        <v>598</v>
      </c>
      <c r="I60" t="s">
        <v>599</v>
      </c>
      <c r="J60" t="s">
        <v>600</v>
      </c>
      <c r="K60">
        <v>89.9</v>
      </c>
      <c r="L60" t="s">
        <v>276</v>
      </c>
      <c r="M60">
        <f>Table1[[#This Row],[Sales Volume]]*Table1[[#This Row],[price(USD)]]</f>
        <v>204342.7</v>
      </c>
      <c r="N60" t="s">
        <v>277</v>
      </c>
      <c r="O60" t="s">
        <v>278</v>
      </c>
      <c r="P60" t="str">
        <f>HYPERLINK(Table1[[#This Row],[url]],Table1[[#This Row],[name]])</f>
        <v>EMBROIDERED FOREST JACKET</v>
      </c>
      <c r="Q60" t="str">
        <f>IF(Table1[[#This Row],[price(USD)]]&gt;295.33,"Premimum",IF(Table1[[#This Row],[price(USD)]]&gt;151.66,"Mid Range","Budget"))</f>
        <v>Budget</v>
      </c>
      <c r="R60" t="str">
        <f>IF(Table1[[#This Row],[Sales Volume]]&gt;2169,"Best Seller",IF(Table1[[#This Row],[Sales Volume]]&gt;1349,"Average","Slow seller"))</f>
        <v>Best Seller</v>
      </c>
    </row>
    <row r="61" spans="1:18">
      <c r="A61">
        <v>134429</v>
      </c>
      <c r="B61" t="s">
        <v>269</v>
      </c>
      <c r="C61" t="s">
        <v>270</v>
      </c>
      <c r="D61" t="s">
        <v>271</v>
      </c>
      <c r="E61" t="s">
        <v>270</v>
      </c>
      <c r="F61">
        <v>2914</v>
      </c>
      <c r="G61" t="s">
        <v>1065</v>
      </c>
      <c r="H61" t="s">
        <v>1066</v>
      </c>
      <c r="I61" t="s">
        <v>1067</v>
      </c>
      <c r="J61" t="s">
        <v>1068</v>
      </c>
      <c r="K61">
        <v>69.900000000000006</v>
      </c>
      <c r="L61" t="s">
        <v>276</v>
      </c>
      <c r="M61">
        <f>Table1[[#This Row],[Sales Volume]]*Table1[[#This Row],[price(USD)]]</f>
        <v>203688.6</v>
      </c>
      <c r="N61" t="s">
        <v>1042</v>
      </c>
      <c r="O61" t="s">
        <v>278</v>
      </c>
      <c r="P61" t="str">
        <f>HYPERLINK(Table1[[#This Row],[url]],Table1[[#This Row],[name]])</f>
        <v>RIPPED STRAIGHT FIT JEANS</v>
      </c>
      <c r="Q61" t="str">
        <f>IF(Table1[[#This Row],[price(USD)]]&gt;295.33,"Premimum",IF(Table1[[#This Row],[price(USD)]]&gt;151.66,"Mid Range","Budget"))</f>
        <v>Budget</v>
      </c>
      <c r="R61" t="str">
        <f>IF(Table1[[#This Row],[Sales Volume]]&gt;2169,"Best Seller",IF(Table1[[#This Row],[Sales Volume]]&gt;1349,"Average","Slow seller"))</f>
        <v>Best Seller</v>
      </c>
    </row>
    <row r="62" spans="1:18">
      <c r="A62">
        <v>112917</v>
      </c>
      <c r="B62" t="s">
        <v>269</v>
      </c>
      <c r="C62" t="s">
        <v>287</v>
      </c>
      <c r="D62" t="s">
        <v>271</v>
      </c>
      <c r="E62" t="s">
        <v>287</v>
      </c>
      <c r="F62">
        <v>1568</v>
      </c>
      <c r="G62" t="s">
        <v>295</v>
      </c>
      <c r="H62" t="s">
        <v>296</v>
      </c>
      <c r="I62" t="s">
        <v>297</v>
      </c>
      <c r="J62" t="s">
        <v>298</v>
      </c>
      <c r="K62">
        <v>129</v>
      </c>
      <c r="L62" t="s">
        <v>276</v>
      </c>
      <c r="M62">
        <f>Table1[[#This Row],[Sales Volume]]*Table1[[#This Row],[price(USD)]]</f>
        <v>202272</v>
      </c>
      <c r="N62" t="s">
        <v>277</v>
      </c>
      <c r="O62" t="s">
        <v>278</v>
      </c>
      <c r="P62" t="str">
        <f>HYPERLINK(Table1[[#This Row],[url]],Table1[[#This Row],[name]])</f>
        <v>STRETCH SUIT JACKET</v>
      </c>
      <c r="Q62" t="str">
        <f>IF(Table1[[#This Row],[price(USD)]]&gt;295.33,"Premimum",IF(Table1[[#This Row],[price(USD)]]&gt;151.66,"Mid Range","Budget"))</f>
        <v>Budget</v>
      </c>
      <c r="R62" t="str">
        <f>IF(Table1[[#This Row],[Sales Volume]]&gt;2169,"Best Seller",IF(Table1[[#This Row],[Sales Volume]]&gt;1349,"Average","Slow seller"))</f>
        <v>Average</v>
      </c>
    </row>
    <row r="63" spans="1:18">
      <c r="A63">
        <v>185800</v>
      </c>
      <c r="B63" t="s">
        <v>286</v>
      </c>
      <c r="C63" t="s">
        <v>270</v>
      </c>
      <c r="D63" t="s">
        <v>271</v>
      </c>
      <c r="E63" t="s">
        <v>287</v>
      </c>
      <c r="F63">
        <v>1841</v>
      </c>
      <c r="G63" t="s">
        <v>763</v>
      </c>
      <c r="H63" t="s">
        <v>764</v>
      </c>
      <c r="I63" t="s">
        <v>765</v>
      </c>
      <c r="J63" t="s">
        <v>766</v>
      </c>
      <c r="K63">
        <v>109</v>
      </c>
      <c r="L63" t="s">
        <v>276</v>
      </c>
      <c r="M63">
        <f>Table1[[#This Row],[Sales Volume]]*Table1[[#This Row],[price(USD)]]</f>
        <v>200669</v>
      </c>
      <c r="N63" t="s">
        <v>277</v>
      </c>
      <c r="O63" t="s">
        <v>278</v>
      </c>
      <c r="P63" t="str">
        <f>HYPERLINK(Table1[[#This Row],[url]],Table1[[#This Row],[name]])</f>
        <v>TECHNICAL OVERSHIRT</v>
      </c>
      <c r="Q63" t="str">
        <f>IF(Table1[[#This Row],[price(USD)]]&gt;295.33,"Premimum",IF(Table1[[#This Row],[price(USD)]]&gt;151.66,"Mid Range","Budget"))</f>
        <v>Budget</v>
      </c>
      <c r="R63" t="str">
        <f>IF(Table1[[#This Row],[Sales Volume]]&gt;2169,"Best Seller",IF(Table1[[#This Row],[Sales Volume]]&gt;1349,"Average","Slow seller"))</f>
        <v>Average</v>
      </c>
    </row>
    <row r="64" spans="1:18">
      <c r="A64">
        <v>140028</v>
      </c>
      <c r="B64" t="s">
        <v>269</v>
      </c>
      <c r="C64" t="s">
        <v>287</v>
      </c>
      <c r="D64" t="s">
        <v>271</v>
      </c>
      <c r="E64" t="s">
        <v>287</v>
      </c>
      <c r="F64">
        <v>1260</v>
      </c>
      <c r="G64" t="s">
        <v>328</v>
      </c>
      <c r="H64" t="s">
        <v>329</v>
      </c>
      <c r="I64" t="s">
        <v>330</v>
      </c>
      <c r="J64" t="s">
        <v>331</v>
      </c>
      <c r="K64">
        <v>159</v>
      </c>
      <c r="L64" t="s">
        <v>276</v>
      </c>
      <c r="M64">
        <f>Table1[[#This Row],[Sales Volume]]*Table1[[#This Row],[price(USD)]]</f>
        <v>200340</v>
      </c>
      <c r="N64" t="s">
        <v>277</v>
      </c>
      <c r="O64" t="s">
        <v>278</v>
      </c>
      <c r="P64" t="str">
        <f>HYPERLINK(Table1[[#This Row],[url]],Table1[[#This Row],[name]])</f>
        <v>OVERSIZED CROPPED JACKET LIMITED EDITION</v>
      </c>
      <c r="Q64" t="str">
        <f>IF(Table1[[#This Row],[price(USD)]]&gt;295.33,"Premimum",IF(Table1[[#This Row],[price(USD)]]&gt;151.66,"Mid Range","Budget"))</f>
        <v>Mid Range</v>
      </c>
      <c r="R64" t="str">
        <f>IF(Table1[[#This Row],[Sales Volume]]&gt;2169,"Best Seller",IF(Table1[[#This Row],[Sales Volume]]&gt;1349,"Average","Slow seller"))</f>
        <v>Slow seller</v>
      </c>
    </row>
    <row r="65" spans="1:18">
      <c r="A65">
        <v>125408</v>
      </c>
      <c r="B65" t="s">
        <v>286</v>
      </c>
      <c r="C65" t="s">
        <v>287</v>
      </c>
      <c r="D65" t="s">
        <v>271</v>
      </c>
      <c r="E65" t="s">
        <v>287</v>
      </c>
      <c r="F65">
        <v>2220</v>
      </c>
      <c r="G65" t="s">
        <v>576</v>
      </c>
      <c r="H65" t="s">
        <v>577</v>
      </c>
      <c r="I65" t="s">
        <v>405</v>
      </c>
      <c r="J65" t="s">
        <v>406</v>
      </c>
      <c r="K65">
        <v>89.9</v>
      </c>
      <c r="L65" t="s">
        <v>276</v>
      </c>
      <c r="M65">
        <f>Table1[[#This Row],[Sales Volume]]*Table1[[#This Row],[price(USD)]]</f>
        <v>199578</v>
      </c>
      <c r="N65" t="s">
        <v>277</v>
      </c>
      <c r="O65" t="s">
        <v>278</v>
      </c>
      <c r="P65" t="str">
        <f>HYPERLINK(Table1[[#This Row],[url]],Table1[[#This Row],[name]])</f>
        <v>CONTRASTING PATCHES BOMBER JACKET</v>
      </c>
      <c r="Q65" t="str">
        <f>IF(Table1[[#This Row],[price(USD)]]&gt;295.33,"Premimum",IF(Table1[[#This Row],[price(USD)]]&gt;151.66,"Mid Range","Budget"))</f>
        <v>Budget</v>
      </c>
      <c r="R65" t="str">
        <f>IF(Table1[[#This Row],[Sales Volume]]&gt;2169,"Best Seller",IF(Table1[[#This Row],[Sales Volume]]&gt;1349,"Average","Slow seller"))</f>
        <v>Best Seller</v>
      </c>
    </row>
    <row r="66" spans="1:18">
      <c r="A66">
        <v>148823</v>
      </c>
      <c r="B66" t="s">
        <v>269</v>
      </c>
      <c r="C66" t="s">
        <v>270</v>
      </c>
      <c r="D66" t="s">
        <v>271</v>
      </c>
      <c r="E66" t="s">
        <v>287</v>
      </c>
      <c r="F66">
        <v>2211</v>
      </c>
      <c r="G66" t="s">
        <v>770</v>
      </c>
      <c r="H66" t="s">
        <v>771</v>
      </c>
      <c r="I66" t="s">
        <v>772</v>
      </c>
      <c r="J66" t="s">
        <v>773</v>
      </c>
      <c r="K66">
        <v>89.9</v>
      </c>
      <c r="L66" t="s">
        <v>276</v>
      </c>
      <c r="M66">
        <f>Table1[[#This Row],[Sales Volume]]*Table1[[#This Row],[price(USD)]]</f>
        <v>198768.90000000002</v>
      </c>
      <c r="N66" t="s">
        <v>774</v>
      </c>
      <c r="O66" t="s">
        <v>278</v>
      </c>
      <c r="P66" t="str">
        <f>HYPERLINK(Table1[[#This Row],[url]],Table1[[#This Row],[name]])</f>
        <v>SUEDE FISHERMAN SANDALS</v>
      </c>
      <c r="Q66" t="str">
        <f>IF(Table1[[#This Row],[price(USD)]]&gt;295.33,"Premimum",IF(Table1[[#This Row],[price(USD)]]&gt;151.66,"Mid Range","Budget"))</f>
        <v>Budget</v>
      </c>
      <c r="R66" t="str">
        <f>IF(Table1[[#This Row],[Sales Volume]]&gt;2169,"Best Seller",IF(Table1[[#This Row],[Sales Volume]]&gt;1349,"Average","Slow seller"))</f>
        <v>Best Seller</v>
      </c>
    </row>
    <row r="67" spans="1:18">
      <c r="A67">
        <v>144848</v>
      </c>
      <c r="B67" t="s">
        <v>307</v>
      </c>
      <c r="C67" t="s">
        <v>270</v>
      </c>
      <c r="D67" t="s">
        <v>271</v>
      </c>
      <c r="E67" t="s">
        <v>270</v>
      </c>
      <c r="F67">
        <v>2193</v>
      </c>
      <c r="G67" t="s">
        <v>855</v>
      </c>
      <c r="H67" t="s">
        <v>856</v>
      </c>
      <c r="I67" t="s">
        <v>857</v>
      </c>
      <c r="J67" t="s">
        <v>858</v>
      </c>
      <c r="K67">
        <v>89.9</v>
      </c>
      <c r="L67" t="s">
        <v>276</v>
      </c>
      <c r="M67">
        <f>Table1[[#This Row],[Sales Volume]]*Table1[[#This Row],[price(USD)]]</f>
        <v>197150.7</v>
      </c>
      <c r="N67" t="s">
        <v>774</v>
      </c>
      <c r="O67" t="s">
        <v>278</v>
      </c>
      <c r="P67" t="str">
        <f>HYPERLINK(Table1[[#This Row],[url]],Table1[[#This Row],[name]])</f>
        <v>CHUNKY SOLE CANVAS LACE-UP BOOTS</v>
      </c>
      <c r="Q67" t="str">
        <f>IF(Table1[[#This Row],[price(USD)]]&gt;295.33,"Premimum",IF(Table1[[#This Row],[price(USD)]]&gt;151.66,"Mid Range","Budget"))</f>
        <v>Budget</v>
      </c>
      <c r="R67" t="str">
        <f>IF(Table1[[#This Row],[Sales Volume]]&gt;2169,"Best Seller",IF(Table1[[#This Row],[Sales Volume]]&gt;1349,"Average","Slow seller"))</f>
        <v>Best Seller</v>
      </c>
    </row>
    <row r="68" spans="1:18">
      <c r="A68">
        <v>168516</v>
      </c>
      <c r="B68" t="s">
        <v>307</v>
      </c>
      <c r="C68" t="s">
        <v>287</v>
      </c>
      <c r="D68" t="s">
        <v>271</v>
      </c>
      <c r="E68" t="s">
        <v>270</v>
      </c>
      <c r="F68">
        <v>2168</v>
      </c>
      <c r="G68" t="s">
        <v>983</v>
      </c>
      <c r="H68" t="s">
        <v>740</v>
      </c>
      <c r="I68" t="s">
        <v>377</v>
      </c>
      <c r="J68" t="s">
        <v>596</v>
      </c>
      <c r="K68">
        <v>89.9</v>
      </c>
      <c r="L68" t="s">
        <v>276</v>
      </c>
      <c r="M68">
        <f>Table1[[#This Row],[Sales Volume]]*Table1[[#This Row],[price(USD)]]</f>
        <v>194903.2</v>
      </c>
      <c r="N68" t="s">
        <v>1093</v>
      </c>
      <c r="O68" t="s">
        <v>278</v>
      </c>
      <c r="P68" t="str">
        <f>HYPERLINK(Table1[[#This Row],[url]],Table1[[#This Row],[name]])</f>
        <v>LIGHTWEIGHT BOMBER JACKET</v>
      </c>
      <c r="Q68" t="str">
        <f>IF(Table1[[#This Row],[price(USD)]]&gt;295.33,"Premimum",IF(Table1[[#This Row],[price(USD)]]&gt;151.66,"Mid Range","Budget"))</f>
        <v>Budget</v>
      </c>
      <c r="R68" t="str">
        <f>IF(Table1[[#This Row],[Sales Volume]]&gt;2169,"Best Seller",IF(Table1[[#This Row],[Sales Volume]]&gt;1349,"Average","Slow seller"))</f>
        <v>Average</v>
      </c>
    </row>
    <row r="69" spans="1:18">
      <c r="A69">
        <v>111957</v>
      </c>
      <c r="B69" t="s">
        <v>269</v>
      </c>
      <c r="C69" t="s">
        <v>287</v>
      </c>
      <c r="D69" t="s">
        <v>271</v>
      </c>
      <c r="E69" t="s">
        <v>270</v>
      </c>
      <c r="F69">
        <v>2164</v>
      </c>
      <c r="G69" t="s">
        <v>859</v>
      </c>
      <c r="H69" t="s">
        <v>860</v>
      </c>
      <c r="I69" t="s">
        <v>861</v>
      </c>
      <c r="J69" t="s">
        <v>862</v>
      </c>
      <c r="K69">
        <v>89.9</v>
      </c>
      <c r="L69" t="s">
        <v>276</v>
      </c>
      <c r="M69">
        <f>Table1[[#This Row],[Sales Volume]]*Table1[[#This Row],[price(USD)]]</f>
        <v>194543.6</v>
      </c>
      <c r="N69" t="s">
        <v>774</v>
      </c>
      <c r="O69" t="s">
        <v>278</v>
      </c>
      <c r="P69" t="str">
        <f>HYPERLINK(Table1[[#This Row],[url]],Table1[[#This Row],[name]])</f>
        <v>SUEDE PENNY LOAFERS</v>
      </c>
      <c r="Q69" t="str">
        <f>IF(Table1[[#This Row],[price(USD)]]&gt;295.33,"Premimum",IF(Table1[[#This Row],[price(USD)]]&gt;151.66,"Mid Range","Budget"))</f>
        <v>Budget</v>
      </c>
      <c r="R69" t="str">
        <f>IF(Table1[[#This Row],[Sales Volume]]&gt;2169,"Best Seller",IF(Table1[[#This Row],[Sales Volume]]&gt;1349,"Average","Slow seller"))</f>
        <v>Average</v>
      </c>
    </row>
    <row r="70" spans="1:18">
      <c r="A70">
        <v>165910</v>
      </c>
      <c r="B70" t="s">
        <v>286</v>
      </c>
      <c r="C70" t="s">
        <v>287</v>
      </c>
      <c r="D70" t="s">
        <v>271</v>
      </c>
      <c r="E70" t="s">
        <v>270</v>
      </c>
      <c r="F70">
        <v>2760</v>
      </c>
      <c r="G70" t="s">
        <v>895</v>
      </c>
      <c r="H70" t="s">
        <v>896</v>
      </c>
      <c r="I70" t="s">
        <v>897</v>
      </c>
      <c r="J70" t="s">
        <v>898</v>
      </c>
      <c r="K70">
        <v>69.900000000000006</v>
      </c>
      <c r="L70" t="s">
        <v>276</v>
      </c>
      <c r="M70">
        <f>Table1[[#This Row],[Sales Volume]]*Table1[[#This Row],[price(USD)]]</f>
        <v>192924.00000000003</v>
      </c>
      <c r="N70" t="s">
        <v>893</v>
      </c>
      <c r="O70" t="s">
        <v>894</v>
      </c>
      <c r="P70" t="str">
        <f>HYPERLINK(Table1[[#This Row],[url]],Table1[[#This Row],[name]])</f>
        <v>KNIT SWEATER WITH PEARLS</v>
      </c>
      <c r="Q70" t="str">
        <f>IF(Table1[[#This Row],[price(USD)]]&gt;295.33,"Premimum",IF(Table1[[#This Row],[price(USD)]]&gt;151.66,"Mid Range","Budget"))</f>
        <v>Budget</v>
      </c>
      <c r="R70" t="str">
        <f>IF(Table1[[#This Row],[Sales Volume]]&gt;2169,"Best Seller",IF(Table1[[#This Row],[Sales Volume]]&gt;1349,"Average","Slow seller"))</f>
        <v>Best Seller</v>
      </c>
    </row>
    <row r="71" spans="1:18">
      <c r="A71">
        <v>119044</v>
      </c>
      <c r="B71" t="s">
        <v>269</v>
      </c>
      <c r="C71" t="s">
        <v>270</v>
      </c>
      <c r="D71" t="s">
        <v>271</v>
      </c>
      <c r="E71" t="s">
        <v>287</v>
      </c>
      <c r="F71">
        <v>1140</v>
      </c>
      <c r="G71" t="s">
        <v>943</v>
      </c>
      <c r="H71" t="s">
        <v>705</v>
      </c>
      <c r="I71" t="s">
        <v>338</v>
      </c>
      <c r="J71" t="s">
        <v>724</v>
      </c>
      <c r="K71">
        <v>169</v>
      </c>
      <c r="L71" t="s">
        <v>276</v>
      </c>
      <c r="M71">
        <f>Table1[[#This Row],[Sales Volume]]*Table1[[#This Row],[price(USD)]]</f>
        <v>192660</v>
      </c>
      <c r="N71" t="s">
        <v>893</v>
      </c>
      <c r="O71" t="s">
        <v>278</v>
      </c>
      <c r="P71" t="str">
        <f>HYPERLINK(Table1[[#This Row],[url]],Table1[[#This Row],[name]])</f>
        <v>CROPPED LEATHER JACKET</v>
      </c>
      <c r="Q71" t="str">
        <f>IF(Table1[[#This Row],[price(USD)]]&gt;295.33,"Premimum",IF(Table1[[#This Row],[price(USD)]]&gt;151.66,"Mid Range","Budget"))</f>
        <v>Mid Range</v>
      </c>
      <c r="R71" t="str">
        <f>IF(Table1[[#This Row],[Sales Volume]]&gt;2169,"Best Seller",IF(Table1[[#This Row],[Sales Volume]]&gt;1349,"Average","Slow seller"))</f>
        <v>Slow seller</v>
      </c>
    </row>
    <row r="72" spans="1:18">
      <c r="A72">
        <v>193686</v>
      </c>
      <c r="B72" t="s">
        <v>269</v>
      </c>
      <c r="C72" t="s">
        <v>287</v>
      </c>
      <c r="D72" t="s">
        <v>271</v>
      </c>
      <c r="E72" t="s">
        <v>270</v>
      </c>
      <c r="F72">
        <v>1899</v>
      </c>
      <c r="G72" t="s">
        <v>819</v>
      </c>
      <c r="H72" t="s">
        <v>820</v>
      </c>
      <c r="I72" t="s">
        <v>821</v>
      </c>
      <c r="J72" t="s">
        <v>822</v>
      </c>
      <c r="K72">
        <v>99.9</v>
      </c>
      <c r="L72" t="s">
        <v>276</v>
      </c>
      <c r="M72">
        <f>Table1[[#This Row],[Sales Volume]]*Table1[[#This Row],[price(USD)]]</f>
        <v>189710.1</v>
      </c>
      <c r="N72" t="s">
        <v>774</v>
      </c>
      <c r="O72" t="s">
        <v>278</v>
      </c>
      <c r="P72" t="str">
        <f>HYPERLINK(Table1[[#This Row],[url]],Table1[[#This Row],[name]])</f>
        <v>TASSEL LEATHER LOAFERS</v>
      </c>
      <c r="Q72" t="str">
        <f>IF(Table1[[#This Row],[price(USD)]]&gt;295.33,"Premimum",IF(Table1[[#This Row],[price(USD)]]&gt;151.66,"Mid Range","Budget"))</f>
        <v>Budget</v>
      </c>
      <c r="R72" t="str">
        <f>IF(Table1[[#This Row],[Sales Volume]]&gt;2169,"Best Seller",IF(Table1[[#This Row],[Sales Volume]]&gt;1349,"Average","Slow seller"))</f>
        <v>Average</v>
      </c>
    </row>
    <row r="73" spans="1:18">
      <c r="A73">
        <v>163982</v>
      </c>
      <c r="B73" t="s">
        <v>307</v>
      </c>
      <c r="C73" t="s">
        <v>270</v>
      </c>
      <c r="D73" t="s">
        <v>271</v>
      </c>
      <c r="E73" t="s">
        <v>270</v>
      </c>
      <c r="F73">
        <v>2685</v>
      </c>
      <c r="G73" t="s">
        <v>951</v>
      </c>
      <c r="H73" t="s">
        <v>712</v>
      </c>
      <c r="I73" t="s">
        <v>346</v>
      </c>
      <c r="J73" t="s">
        <v>731</v>
      </c>
      <c r="K73">
        <v>69.900000000000006</v>
      </c>
      <c r="L73" t="s">
        <v>276</v>
      </c>
      <c r="M73">
        <f>Table1[[#This Row],[Sales Volume]]*Table1[[#This Row],[price(USD)]]</f>
        <v>187681.50000000003</v>
      </c>
      <c r="N73" t="s">
        <v>1093</v>
      </c>
      <c r="O73" t="s">
        <v>278</v>
      </c>
      <c r="P73" t="str">
        <f>HYPERLINK(Table1[[#This Row],[url]],Table1[[#This Row],[name]])</f>
        <v>FAUX LEATHER JACKET</v>
      </c>
      <c r="Q73" t="str">
        <f>IF(Table1[[#This Row],[price(USD)]]&gt;295.33,"Premimum",IF(Table1[[#This Row],[price(USD)]]&gt;151.66,"Mid Range","Budget"))</f>
        <v>Budget</v>
      </c>
      <c r="R73" t="str">
        <f>IF(Table1[[#This Row],[Sales Volume]]&gt;2169,"Best Seller",IF(Table1[[#This Row],[Sales Volume]]&gt;1349,"Average","Slow seller"))</f>
        <v>Best Seller</v>
      </c>
    </row>
    <row r="74" spans="1:18">
      <c r="A74">
        <v>110295</v>
      </c>
      <c r="B74" t="s">
        <v>286</v>
      </c>
      <c r="C74" t="s">
        <v>287</v>
      </c>
      <c r="D74" t="s">
        <v>271</v>
      </c>
      <c r="E74" t="s">
        <v>270</v>
      </c>
      <c r="F74">
        <v>1448</v>
      </c>
      <c r="G74" t="s">
        <v>665</v>
      </c>
      <c r="H74" t="s">
        <v>666</v>
      </c>
      <c r="I74" t="s">
        <v>667</v>
      </c>
      <c r="J74" t="s">
        <v>668</v>
      </c>
      <c r="K74">
        <v>129</v>
      </c>
      <c r="L74" t="s">
        <v>276</v>
      </c>
      <c r="M74">
        <f>Table1[[#This Row],[Sales Volume]]*Table1[[#This Row],[price(USD)]]</f>
        <v>186792</v>
      </c>
      <c r="N74" t="s">
        <v>277</v>
      </c>
      <c r="O74" t="s">
        <v>278</v>
      </c>
      <c r="P74" t="str">
        <f>HYPERLINK(Table1[[#This Row],[url]],Table1[[#This Row],[name]])</f>
        <v>HOODED DENIM JACKET</v>
      </c>
      <c r="Q74" t="str">
        <f>IF(Table1[[#This Row],[price(USD)]]&gt;295.33,"Premimum",IF(Table1[[#This Row],[price(USD)]]&gt;151.66,"Mid Range","Budget"))</f>
        <v>Budget</v>
      </c>
      <c r="R74" t="str">
        <f>IF(Table1[[#This Row],[Sales Volume]]&gt;2169,"Best Seller",IF(Table1[[#This Row],[Sales Volume]]&gt;1349,"Average","Slow seller"))</f>
        <v>Average</v>
      </c>
    </row>
    <row r="75" spans="1:18">
      <c r="A75">
        <v>141904</v>
      </c>
      <c r="B75" t="s">
        <v>286</v>
      </c>
      <c r="C75" t="s">
        <v>287</v>
      </c>
      <c r="D75" t="s">
        <v>271</v>
      </c>
      <c r="E75" t="s">
        <v>287</v>
      </c>
      <c r="F75">
        <v>1712</v>
      </c>
      <c r="G75" t="s">
        <v>363</v>
      </c>
      <c r="H75" t="s">
        <v>364</v>
      </c>
      <c r="I75" t="s">
        <v>365</v>
      </c>
      <c r="J75" t="s">
        <v>366</v>
      </c>
      <c r="K75">
        <v>109</v>
      </c>
      <c r="L75" t="s">
        <v>276</v>
      </c>
      <c r="M75">
        <f>Table1[[#This Row],[Sales Volume]]*Table1[[#This Row],[price(USD)]]</f>
        <v>186608</v>
      </c>
      <c r="N75" t="s">
        <v>277</v>
      </c>
      <c r="O75" t="s">
        <v>278</v>
      </c>
      <c r="P75" t="str">
        <f>HYPERLINK(Table1[[#This Row],[url]],Table1[[#This Row],[name]])</f>
        <v>JACQUARD DENIM JACKET</v>
      </c>
      <c r="Q75" t="str">
        <f>IF(Table1[[#This Row],[price(USD)]]&gt;295.33,"Premimum",IF(Table1[[#This Row],[price(USD)]]&gt;151.66,"Mid Range","Budget"))</f>
        <v>Budget</v>
      </c>
      <c r="R75" t="str">
        <f>IF(Table1[[#This Row],[Sales Volume]]&gt;2169,"Best Seller",IF(Table1[[#This Row],[Sales Volume]]&gt;1349,"Average","Slow seller"))</f>
        <v>Average</v>
      </c>
    </row>
    <row r="76" spans="1:18">
      <c r="A76">
        <v>128179</v>
      </c>
      <c r="B76" t="s">
        <v>286</v>
      </c>
      <c r="C76" t="s">
        <v>287</v>
      </c>
      <c r="D76" t="s">
        <v>271</v>
      </c>
      <c r="E76" t="s">
        <v>270</v>
      </c>
      <c r="F76">
        <v>2060</v>
      </c>
      <c r="G76" t="s">
        <v>609</v>
      </c>
      <c r="H76" t="s">
        <v>610</v>
      </c>
      <c r="I76" t="s">
        <v>611</v>
      </c>
      <c r="J76" t="s">
        <v>612</v>
      </c>
      <c r="K76">
        <v>89.9</v>
      </c>
      <c r="L76" t="s">
        <v>276</v>
      </c>
      <c r="M76">
        <f>Table1[[#This Row],[Sales Volume]]*Table1[[#This Row],[price(USD)]]</f>
        <v>185194</v>
      </c>
      <c r="N76" t="s">
        <v>277</v>
      </c>
      <c r="O76" t="s">
        <v>278</v>
      </c>
      <c r="P76" t="str">
        <f>HYPERLINK(Table1[[#This Row],[url]],Table1[[#This Row],[name]])</f>
        <v>COLOR BLOCK PUFFER JACKET</v>
      </c>
      <c r="Q76" t="str">
        <f>IF(Table1[[#This Row],[price(USD)]]&gt;295.33,"Premimum",IF(Table1[[#This Row],[price(USD)]]&gt;151.66,"Mid Range","Budget"))</f>
        <v>Budget</v>
      </c>
      <c r="R76" t="str">
        <f>IF(Table1[[#This Row],[Sales Volume]]&gt;2169,"Best Seller",IF(Table1[[#This Row],[Sales Volume]]&gt;1349,"Average","Slow seller"))</f>
        <v>Average</v>
      </c>
    </row>
    <row r="77" spans="1:18">
      <c r="A77">
        <v>139967</v>
      </c>
      <c r="B77" t="s">
        <v>286</v>
      </c>
      <c r="C77" t="s">
        <v>270</v>
      </c>
      <c r="D77" t="s">
        <v>271</v>
      </c>
      <c r="E77" t="s">
        <v>270</v>
      </c>
      <c r="F77">
        <v>2634</v>
      </c>
      <c r="G77" t="s">
        <v>935</v>
      </c>
      <c r="H77" t="s">
        <v>698</v>
      </c>
      <c r="I77" t="s">
        <v>330</v>
      </c>
      <c r="J77" t="s">
        <v>982</v>
      </c>
      <c r="K77">
        <v>69.900000000000006</v>
      </c>
      <c r="L77" t="s">
        <v>276</v>
      </c>
      <c r="M77">
        <f>Table1[[#This Row],[Sales Volume]]*Table1[[#This Row],[price(USD)]]</f>
        <v>184116.6</v>
      </c>
      <c r="N77" t="s">
        <v>1093</v>
      </c>
      <c r="O77" t="s">
        <v>278</v>
      </c>
      <c r="P77" t="str">
        <f>HYPERLINK(Table1[[#This Row],[url]],Table1[[#This Row],[name]])</f>
        <v>OVERSIZED CROPPED JACKET LIMITED EDITION</v>
      </c>
      <c r="Q77" t="str">
        <f>IF(Table1[[#This Row],[price(USD)]]&gt;295.33,"Premimum",IF(Table1[[#This Row],[price(USD)]]&gt;151.66,"Mid Range","Budget"))</f>
        <v>Budget</v>
      </c>
      <c r="R77" t="str">
        <f>IF(Table1[[#This Row],[Sales Volume]]&gt;2169,"Best Seller",IF(Table1[[#This Row],[Sales Volume]]&gt;1349,"Average","Slow seller"))</f>
        <v>Best Seller</v>
      </c>
    </row>
    <row r="78" spans="1:18">
      <c r="A78">
        <v>134763</v>
      </c>
      <c r="B78" t="s">
        <v>307</v>
      </c>
      <c r="C78" t="s">
        <v>270</v>
      </c>
      <c r="D78" t="s">
        <v>271</v>
      </c>
      <c r="E78" t="s">
        <v>287</v>
      </c>
      <c r="F78">
        <v>2048</v>
      </c>
      <c r="G78" t="s">
        <v>578</v>
      </c>
      <c r="H78" t="s">
        <v>579</v>
      </c>
      <c r="I78" t="s">
        <v>580</v>
      </c>
      <c r="J78" t="s">
        <v>581</v>
      </c>
      <c r="K78">
        <v>89.9</v>
      </c>
      <c r="L78" t="s">
        <v>276</v>
      </c>
      <c r="M78">
        <f>Table1[[#This Row],[Sales Volume]]*Table1[[#This Row],[price(USD)]]</f>
        <v>184115.20000000001</v>
      </c>
      <c r="N78" t="s">
        <v>277</v>
      </c>
      <c r="O78" t="s">
        <v>278</v>
      </c>
      <c r="P78" t="str">
        <f>HYPERLINK(Table1[[#This Row],[url]],Table1[[#This Row],[name]])</f>
        <v>PADDED BOMBER JACKET</v>
      </c>
      <c r="Q78" t="str">
        <f>IF(Table1[[#This Row],[price(USD)]]&gt;295.33,"Premimum",IF(Table1[[#This Row],[price(USD)]]&gt;151.66,"Mid Range","Budget"))</f>
        <v>Budget</v>
      </c>
      <c r="R78" t="str">
        <f>IF(Table1[[#This Row],[Sales Volume]]&gt;2169,"Best Seller",IF(Table1[[#This Row],[Sales Volume]]&gt;1349,"Average","Slow seller"))</f>
        <v>Average</v>
      </c>
    </row>
    <row r="79" spans="1:18">
      <c r="A79">
        <v>125409</v>
      </c>
      <c r="B79" t="s">
        <v>286</v>
      </c>
      <c r="C79" t="s">
        <v>287</v>
      </c>
      <c r="D79" t="s">
        <v>271</v>
      </c>
      <c r="E79" t="s">
        <v>270</v>
      </c>
      <c r="F79">
        <v>2040</v>
      </c>
      <c r="G79" t="s">
        <v>585</v>
      </c>
      <c r="H79" t="s">
        <v>586</v>
      </c>
      <c r="I79" t="s">
        <v>587</v>
      </c>
      <c r="J79" t="s">
        <v>588</v>
      </c>
      <c r="K79">
        <v>89.9</v>
      </c>
      <c r="L79" t="s">
        <v>276</v>
      </c>
      <c r="M79">
        <f>Table1[[#This Row],[Sales Volume]]*Table1[[#This Row],[price(USD)]]</f>
        <v>183396</v>
      </c>
      <c r="N79" t="s">
        <v>277</v>
      </c>
      <c r="O79" t="s">
        <v>278</v>
      </c>
      <c r="P79" t="str">
        <f>HYPERLINK(Table1[[#This Row],[url]],Table1[[#This Row],[name]])</f>
        <v>POCKET DENIM JACKET</v>
      </c>
      <c r="Q79" t="str">
        <f>IF(Table1[[#This Row],[price(USD)]]&gt;295.33,"Premimum",IF(Table1[[#This Row],[price(USD)]]&gt;151.66,"Mid Range","Budget"))</f>
        <v>Budget</v>
      </c>
      <c r="R79" t="str">
        <f>IF(Table1[[#This Row],[Sales Volume]]&gt;2169,"Best Seller",IF(Table1[[#This Row],[Sales Volume]]&gt;1349,"Average","Slow seller"))</f>
        <v>Average</v>
      </c>
    </row>
    <row r="80" spans="1:18">
      <c r="A80">
        <v>133078</v>
      </c>
      <c r="B80" t="s">
        <v>269</v>
      </c>
      <c r="C80" t="s">
        <v>270</v>
      </c>
      <c r="D80" t="s">
        <v>271</v>
      </c>
      <c r="E80" t="s">
        <v>287</v>
      </c>
      <c r="F80">
        <v>2535</v>
      </c>
      <c r="G80" t="s">
        <v>653</v>
      </c>
      <c r="H80" t="s">
        <v>654</v>
      </c>
      <c r="I80" t="s">
        <v>580</v>
      </c>
      <c r="J80" t="s">
        <v>655</v>
      </c>
      <c r="K80">
        <v>69.900000000000006</v>
      </c>
      <c r="L80" t="s">
        <v>276</v>
      </c>
      <c r="M80">
        <f>Table1[[#This Row],[Sales Volume]]*Table1[[#This Row],[price(USD)]]</f>
        <v>177196.5</v>
      </c>
      <c r="N80" t="s">
        <v>277</v>
      </c>
      <c r="O80" t="s">
        <v>278</v>
      </c>
      <c r="P80" t="str">
        <f>HYPERLINK(Table1[[#This Row],[url]],Table1[[#This Row],[name]])</f>
        <v>PADDED BOMBER JACKET</v>
      </c>
      <c r="Q80" t="str">
        <f>IF(Table1[[#This Row],[price(USD)]]&gt;295.33,"Premimum",IF(Table1[[#This Row],[price(USD)]]&gt;151.66,"Mid Range","Budget"))</f>
        <v>Budget</v>
      </c>
      <c r="R80" t="str">
        <f>IF(Table1[[#This Row],[Sales Volume]]&gt;2169,"Best Seller",IF(Table1[[#This Row],[Sales Volume]]&gt;1349,"Average","Slow seller"))</f>
        <v>Best Seller</v>
      </c>
    </row>
    <row r="81" spans="1:18">
      <c r="A81">
        <v>165158</v>
      </c>
      <c r="B81" t="s">
        <v>307</v>
      </c>
      <c r="C81" t="s">
        <v>270</v>
      </c>
      <c r="D81" t="s">
        <v>271</v>
      </c>
      <c r="E81" t="s">
        <v>270</v>
      </c>
      <c r="F81">
        <v>1622</v>
      </c>
      <c r="G81" t="s">
        <v>642</v>
      </c>
      <c r="H81" t="s">
        <v>643</v>
      </c>
      <c r="I81" t="s">
        <v>644</v>
      </c>
      <c r="J81" t="s">
        <v>645</v>
      </c>
      <c r="K81">
        <v>109</v>
      </c>
      <c r="L81" t="s">
        <v>276</v>
      </c>
      <c r="M81">
        <f>Table1[[#This Row],[Sales Volume]]*Table1[[#This Row],[price(USD)]]</f>
        <v>176798</v>
      </c>
      <c r="N81" t="s">
        <v>277</v>
      </c>
      <c r="O81" t="s">
        <v>278</v>
      </c>
      <c r="P81" t="str">
        <f>HYPERLINK(Table1[[#This Row],[url]],Table1[[#This Row],[name]])</f>
        <v>WASHED EFFECT BOMBER JACKET</v>
      </c>
      <c r="Q81" t="str">
        <f>IF(Table1[[#This Row],[price(USD)]]&gt;295.33,"Premimum",IF(Table1[[#This Row],[price(USD)]]&gt;151.66,"Mid Range","Budget"))</f>
        <v>Budget</v>
      </c>
      <c r="R81" t="str">
        <f>IF(Table1[[#This Row],[Sales Volume]]&gt;2169,"Best Seller",IF(Table1[[#This Row],[Sales Volume]]&gt;1349,"Average","Slow seller"))</f>
        <v>Average</v>
      </c>
    </row>
    <row r="82" spans="1:18">
      <c r="A82">
        <v>123077</v>
      </c>
      <c r="B82" t="s">
        <v>307</v>
      </c>
      <c r="C82" t="s">
        <v>270</v>
      </c>
      <c r="D82" t="s">
        <v>271</v>
      </c>
      <c r="E82" t="s">
        <v>270</v>
      </c>
      <c r="F82">
        <v>1603</v>
      </c>
      <c r="G82" t="s">
        <v>971</v>
      </c>
      <c r="H82" t="s">
        <v>730</v>
      </c>
      <c r="I82" t="s">
        <v>365</v>
      </c>
      <c r="J82" t="s">
        <v>584</v>
      </c>
      <c r="K82">
        <v>109</v>
      </c>
      <c r="L82" t="s">
        <v>276</v>
      </c>
      <c r="M82">
        <f>Table1[[#This Row],[Sales Volume]]*Table1[[#This Row],[price(USD)]]</f>
        <v>174727</v>
      </c>
      <c r="N82" t="s">
        <v>1093</v>
      </c>
      <c r="O82" t="s">
        <v>278</v>
      </c>
      <c r="P82" t="str">
        <f>HYPERLINK(Table1[[#This Row],[url]],Table1[[#This Row],[name]])</f>
        <v>JACQUARD DENIM JACKET</v>
      </c>
      <c r="Q82" t="str">
        <f>IF(Table1[[#This Row],[price(USD)]]&gt;295.33,"Premimum",IF(Table1[[#This Row],[price(USD)]]&gt;151.66,"Mid Range","Budget"))</f>
        <v>Budget</v>
      </c>
      <c r="R82" t="str">
        <f>IF(Table1[[#This Row],[Sales Volume]]&gt;2169,"Best Seller",IF(Table1[[#This Row],[Sales Volume]]&gt;1349,"Average","Slow seller"))</f>
        <v>Average</v>
      </c>
    </row>
    <row r="83" spans="1:18">
      <c r="A83">
        <v>138505</v>
      </c>
      <c r="B83" t="s">
        <v>307</v>
      </c>
      <c r="C83" t="s">
        <v>270</v>
      </c>
      <c r="D83" t="s">
        <v>271</v>
      </c>
      <c r="E83" t="s">
        <v>270</v>
      </c>
      <c r="F83">
        <v>2478</v>
      </c>
      <c r="G83" t="s">
        <v>459</v>
      </c>
      <c r="H83" t="s">
        <v>460</v>
      </c>
      <c r="I83" t="s">
        <v>461</v>
      </c>
      <c r="J83" t="s">
        <v>462</v>
      </c>
      <c r="K83">
        <v>69.900000000000006</v>
      </c>
      <c r="L83" t="s">
        <v>276</v>
      </c>
      <c r="M83">
        <f>Table1[[#This Row],[Sales Volume]]*Table1[[#This Row],[price(USD)]]</f>
        <v>173212.2</v>
      </c>
      <c r="N83" t="s">
        <v>277</v>
      </c>
      <c r="O83" t="s">
        <v>278</v>
      </c>
      <c r="P83" t="str">
        <f>HYPERLINK(Table1[[#This Row],[url]],Table1[[#This Row],[name]])</f>
        <v>RIPPED DENIM JACKET</v>
      </c>
      <c r="Q83" t="str">
        <f>IF(Table1[[#This Row],[price(USD)]]&gt;295.33,"Premimum",IF(Table1[[#This Row],[price(USD)]]&gt;151.66,"Mid Range","Budget"))</f>
        <v>Budget</v>
      </c>
      <c r="R83" t="str">
        <f>IF(Table1[[#This Row],[Sales Volume]]&gt;2169,"Best Seller",IF(Table1[[#This Row],[Sales Volume]]&gt;1349,"Average","Slow seller"))</f>
        <v>Best Seller</v>
      </c>
    </row>
    <row r="84" spans="1:18">
      <c r="A84">
        <v>190238</v>
      </c>
      <c r="B84" t="s">
        <v>307</v>
      </c>
      <c r="C84" t="s">
        <v>270</v>
      </c>
      <c r="D84" t="s">
        <v>271</v>
      </c>
      <c r="E84" t="s">
        <v>287</v>
      </c>
      <c r="F84">
        <v>1917</v>
      </c>
      <c r="G84" t="s">
        <v>510</v>
      </c>
      <c r="H84" t="s">
        <v>511</v>
      </c>
      <c r="I84" t="s">
        <v>512</v>
      </c>
      <c r="J84" t="s">
        <v>513</v>
      </c>
      <c r="K84">
        <v>89.9</v>
      </c>
      <c r="L84" t="s">
        <v>276</v>
      </c>
      <c r="M84">
        <f>Table1[[#This Row],[Sales Volume]]*Table1[[#This Row],[price(USD)]]</f>
        <v>172338.30000000002</v>
      </c>
      <c r="N84" t="s">
        <v>277</v>
      </c>
      <c r="O84" t="s">
        <v>278</v>
      </c>
      <c r="P84" t="str">
        <f>HYPERLINK(Table1[[#This Row],[url]],Table1[[#This Row],[name]])</f>
        <v>ACID WASH DENIM JACKET</v>
      </c>
      <c r="Q84" t="str">
        <f>IF(Table1[[#This Row],[price(USD)]]&gt;295.33,"Premimum",IF(Table1[[#This Row],[price(USD)]]&gt;151.66,"Mid Range","Budget"))</f>
        <v>Budget</v>
      </c>
      <c r="R84" t="str">
        <f>IF(Table1[[#This Row],[Sales Volume]]&gt;2169,"Best Seller",IF(Table1[[#This Row],[Sales Volume]]&gt;1349,"Average","Slow seller"))</f>
        <v>Average</v>
      </c>
    </row>
    <row r="85" spans="1:18">
      <c r="A85">
        <v>166331</v>
      </c>
      <c r="B85" t="s">
        <v>269</v>
      </c>
      <c r="C85" t="s">
        <v>287</v>
      </c>
      <c r="D85" t="s">
        <v>271</v>
      </c>
      <c r="E85" t="s">
        <v>287</v>
      </c>
      <c r="F85">
        <v>2877</v>
      </c>
      <c r="G85" t="s">
        <v>911</v>
      </c>
      <c r="H85" t="s">
        <v>912</v>
      </c>
      <c r="I85" t="s">
        <v>913</v>
      </c>
      <c r="J85" t="s">
        <v>914</v>
      </c>
      <c r="K85">
        <v>59.9</v>
      </c>
      <c r="L85" t="s">
        <v>276</v>
      </c>
      <c r="M85">
        <f>Table1[[#This Row],[Sales Volume]]*Table1[[#This Row],[price(USD)]]</f>
        <v>172332.3</v>
      </c>
      <c r="N85" t="s">
        <v>893</v>
      </c>
      <c r="O85" t="s">
        <v>894</v>
      </c>
      <c r="P85" t="str">
        <f>HYPERLINK(Table1[[#This Row],[url]],Table1[[#This Row],[name]])</f>
        <v>ASYMMETRICAL WOOL AND SILK BLEND SWEATER</v>
      </c>
      <c r="Q85" t="str">
        <f>IF(Table1[[#This Row],[price(USD)]]&gt;295.33,"Premimum",IF(Table1[[#This Row],[price(USD)]]&gt;151.66,"Mid Range","Budget"))</f>
        <v>Budget</v>
      </c>
      <c r="R85" t="str">
        <f>IF(Table1[[#This Row],[Sales Volume]]&gt;2169,"Best Seller",IF(Table1[[#This Row],[Sales Volume]]&gt;1349,"Average","Slow seller"))</f>
        <v>Best Seller</v>
      </c>
    </row>
    <row r="86" spans="1:18">
      <c r="A86">
        <v>159182</v>
      </c>
      <c r="B86" t="s">
        <v>307</v>
      </c>
      <c r="C86" t="s">
        <v>287</v>
      </c>
      <c r="D86" t="s">
        <v>271</v>
      </c>
      <c r="E86" t="s">
        <v>270</v>
      </c>
      <c r="F86">
        <v>1014</v>
      </c>
      <c r="G86" t="s">
        <v>1007</v>
      </c>
      <c r="H86" t="s">
        <v>764</v>
      </c>
      <c r="I86" t="s">
        <v>401</v>
      </c>
      <c r="J86" t="s">
        <v>398</v>
      </c>
      <c r="K86">
        <v>169</v>
      </c>
      <c r="L86" t="s">
        <v>276</v>
      </c>
      <c r="M86">
        <f>Table1[[#This Row],[Sales Volume]]*Table1[[#This Row],[price(USD)]]</f>
        <v>171366</v>
      </c>
      <c r="N86" t="s">
        <v>277</v>
      </c>
      <c r="O86" t="s">
        <v>278</v>
      </c>
      <c r="P86" t="str">
        <f>HYPERLINK(Table1[[#This Row],[url]],Table1[[#This Row],[name]])</f>
        <v>FAUX LEATHER OVERSIZED JACKET LIMITED EDITION</v>
      </c>
      <c r="Q86" t="str">
        <f>IF(Table1[[#This Row],[price(USD)]]&gt;295.33,"Premimum",IF(Table1[[#This Row],[price(USD)]]&gt;151.66,"Mid Range","Budget"))</f>
        <v>Mid Range</v>
      </c>
      <c r="R86" t="str">
        <f>IF(Table1[[#This Row],[Sales Volume]]&gt;2169,"Best Seller",IF(Table1[[#This Row],[Sales Volume]]&gt;1349,"Average","Slow seller"))</f>
        <v>Slow seller</v>
      </c>
    </row>
    <row r="87" spans="1:18">
      <c r="A87">
        <v>158781</v>
      </c>
      <c r="B87" t="s">
        <v>286</v>
      </c>
      <c r="C87" t="s">
        <v>287</v>
      </c>
      <c r="D87" t="s">
        <v>271</v>
      </c>
      <c r="E87" t="s">
        <v>287</v>
      </c>
      <c r="F87">
        <v>2443</v>
      </c>
      <c r="G87" t="s">
        <v>711</v>
      </c>
      <c r="H87" t="s">
        <v>712</v>
      </c>
      <c r="I87" t="s">
        <v>713</v>
      </c>
      <c r="J87" t="s">
        <v>714</v>
      </c>
      <c r="K87">
        <v>69.900000000000006</v>
      </c>
      <c r="L87" t="s">
        <v>276</v>
      </c>
      <c r="M87">
        <f>Table1[[#This Row],[Sales Volume]]*Table1[[#This Row],[price(USD)]]</f>
        <v>170765.7</v>
      </c>
      <c r="N87" t="s">
        <v>277</v>
      </c>
      <c r="O87" t="s">
        <v>278</v>
      </c>
      <c r="P87" t="str">
        <f>HYPERLINK(Table1[[#This Row],[url]],Table1[[#This Row],[name]])</f>
        <v>FAUX SUEDE OVERSHIRT</v>
      </c>
      <c r="Q87" t="str">
        <f>IF(Table1[[#This Row],[price(USD)]]&gt;295.33,"Premimum",IF(Table1[[#This Row],[price(USD)]]&gt;151.66,"Mid Range","Budget"))</f>
        <v>Budget</v>
      </c>
      <c r="R87" t="str">
        <f>IF(Table1[[#This Row],[Sales Volume]]&gt;2169,"Best Seller",IF(Table1[[#This Row],[Sales Volume]]&gt;1349,"Average","Slow seller"))</f>
        <v>Best Seller</v>
      </c>
    </row>
    <row r="88" spans="1:18">
      <c r="A88">
        <v>121348</v>
      </c>
      <c r="B88" t="s">
        <v>286</v>
      </c>
      <c r="C88" t="s">
        <v>270</v>
      </c>
      <c r="D88" t="s">
        <v>271</v>
      </c>
      <c r="E88" t="s">
        <v>287</v>
      </c>
      <c r="F88">
        <v>1008</v>
      </c>
      <c r="G88" t="s">
        <v>947</v>
      </c>
      <c r="H88" t="s">
        <v>708</v>
      </c>
      <c r="I88" t="s">
        <v>342</v>
      </c>
      <c r="J88" t="s">
        <v>728</v>
      </c>
      <c r="K88">
        <v>169</v>
      </c>
      <c r="L88" t="s">
        <v>276</v>
      </c>
      <c r="M88">
        <f>Table1[[#This Row],[Sales Volume]]*Table1[[#This Row],[price(USD)]]</f>
        <v>170352</v>
      </c>
      <c r="N88" t="s">
        <v>1093</v>
      </c>
      <c r="O88" t="s">
        <v>278</v>
      </c>
      <c r="P88" t="str">
        <f>HYPERLINK(Table1[[#This Row],[url]],Table1[[#This Row],[name]])</f>
        <v>FAUX LEATHER BOXY FIT JACKET</v>
      </c>
      <c r="Q88" t="str">
        <f>IF(Table1[[#This Row],[price(USD)]]&gt;295.33,"Premimum",IF(Table1[[#This Row],[price(USD)]]&gt;151.66,"Mid Range","Budget"))</f>
        <v>Mid Range</v>
      </c>
      <c r="R88" t="str">
        <f>IF(Table1[[#This Row],[Sales Volume]]&gt;2169,"Best Seller",IF(Table1[[#This Row],[Sales Volume]]&gt;1349,"Average","Slow seller"))</f>
        <v>Slow seller</v>
      </c>
    </row>
    <row r="89" spans="1:18">
      <c r="A89">
        <v>120354</v>
      </c>
      <c r="B89" t="s">
        <v>269</v>
      </c>
      <c r="C89" t="s">
        <v>287</v>
      </c>
      <c r="D89" t="s">
        <v>271</v>
      </c>
      <c r="E89" t="s">
        <v>270</v>
      </c>
      <c r="F89">
        <v>2836</v>
      </c>
      <c r="G89" t="s">
        <v>851</v>
      </c>
      <c r="H89" t="s">
        <v>852</v>
      </c>
      <c r="I89" t="s">
        <v>853</v>
      </c>
      <c r="J89" t="s">
        <v>854</v>
      </c>
      <c r="K89">
        <v>59.9</v>
      </c>
      <c r="L89" t="s">
        <v>276</v>
      </c>
      <c r="M89">
        <f>Table1[[#This Row],[Sales Volume]]*Table1[[#This Row],[price(USD)]]</f>
        <v>169876.4</v>
      </c>
      <c r="N89" t="s">
        <v>774</v>
      </c>
      <c r="O89" t="s">
        <v>278</v>
      </c>
      <c r="P89" t="str">
        <f>HYPERLINK(Table1[[#This Row],[url]],Table1[[#This Row],[name]])</f>
        <v>DOUBLE STRAP SUEDE SANDALS</v>
      </c>
      <c r="Q89" t="str">
        <f>IF(Table1[[#This Row],[price(USD)]]&gt;295.33,"Premimum",IF(Table1[[#This Row],[price(USD)]]&gt;151.66,"Mid Range","Budget"))</f>
        <v>Budget</v>
      </c>
      <c r="R89" t="str">
        <f>IF(Table1[[#This Row],[Sales Volume]]&gt;2169,"Best Seller",IF(Table1[[#This Row],[Sales Volume]]&gt;1349,"Average","Slow seller"))</f>
        <v>Best Seller</v>
      </c>
    </row>
    <row r="90" spans="1:18">
      <c r="A90">
        <v>110329</v>
      </c>
      <c r="B90" t="s">
        <v>307</v>
      </c>
      <c r="C90" t="s">
        <v>270</v>
      </c>
      <c r="D90" t="s">
        <v>271</v>
      </c>
      <c r="E90" t="s">
        <v>287</v>
      </c>
      <c r="F90">
        <v>2397</v>
      </c>
      <c r="G90" t="s">
        <v>874</v>
      </c>
      <c r="H90" t="s">
        <v>875</v>
      </c>
      <c r="I90" t="s">
        <v>876</v>
      </c>
      <c r="J90" t="s">
        <v>877</v>
      </c>
      <c r="K90">
        <v>69.900000000000006</v>
      </c>
      <c r="L90" t="s">
        <v>276</v>
      </c>
      <c r="M90">
        <f>Table1[[#This Row],[Sales Volume]]*Table1[[#This Row],[price(USD)]]</f>
        <v>167550.30000000002</v>
      </c>
      <c r="N90" t="s">
        <v>774</v>
      </c>
      <c r="O90" t="s">
        <v>278</v>
      </c>
      <c r="P90" t="str">
        <f>HYPERLINK(Table1[[#This Row],[url]],Table1[[#This Row],[name]])</f>
        <v>CONTRAST SOLE LEATHER SNEAKERS</v>
      </c>
      <c r="Q90" t="str">
        <f>IF(Table1[[#This Row],[price(USD)]]&gt;295.33,"Premimum",IF(Table1[[#This Row],[price(USD)]]&gt;151.66,"Mid Range","Budget"))</f>
        <v>Budget</v>
      </c>
      <c r="R90" t="str">
        <f>IF(Table1[[#This Row],[Sales Volume]]&gt;2169,"Best Seller",IF(Table1[[#This Row],[Sales Volume]]&gt;1349,"Average","Slow seller"))</f>
        <v>Best Seller</v>
      </c>
    </row>
    <row r="91" spans="1:18">
      <c r="A91">
        <v>129247</v>
      </c>
      <c r="B91" t="s">
        <v>307</v>
      </c>
      <c r="C91" t="s">
        <v>287</v>
      </c>
      <c r="D91" t="s">
        <v>271</v>
      </c>
      <c r="E91" t="s">
        <v>270</v>
      </c>
      <c r="F91">
        <v>2386</v>
      </c>
      <c r="G91" t="s">
        <v>839</v>
      </c>
      <c r="H91" t="s">
        <v>840</v>
      </c>
      <c r="I91" t="s">
        <v>841</v>
      </c>
      <c r="J91" t="s">
        <v>842</v>
      </c>
      <c r="K91">
        <v>69.900000000000006</v>
      </c>
      <c r="L91" t="s">
        <v>276</v>
      </c>
      <c r="M91">
        <f>Table1[[#This Row],[Sales Volume]]*Table1[[#This Row],[price(USD)]]</f>
        <v>166781.40000000002</v>
      </c>
      <c r="N91" t="s">
        <v>774</v>
      </c>
      <c r="O91" t="s">
        <v>278</v>
      </c>
      <c r="P91" t="str">
        <f>HYPERLINK(Table1[[#This Row],[url]],Table1[[#This Row],[name]])</f>
        <v>SUEDE SNEAKERS</v>
      </c>
      <c r="Q91" t="str">
        <f>IF(Table1[[#This Row],[price(USD)]]&gt;295.33,"Premimum",IF(Table1[[#This Row],[price(USD)]]&gt;151.66,"Mid Range","Budget"))</f>
        <v>Budget</v>
      </c>
      <c r="R91" t="str">
        <f>IF(Table1[[#This Row],[Sales Volume]]&gt;2169,"Best Seller",IF(Table1[[#This Row],[Sales Volume]]&gt;1349,"Average","Slow seller"))</f>
        <v>Best Seller</v>
      </c>
    </row>
    <row r="92" spans="1:18">
      <c r="A92">
        <v>146839</v>
      </c>
      <c r="B92" t="s">
        <v>269</v>
      </c>
      <c r="C92" t="s">
        <v>270</v>
      </c>
      <c r="D92" t="s">
        <v>271</v>
      </c>
      <c r="E92" t="s">
        <v>270</v>
      </c>
      <c r="F92">
        <v>1525</v>
      </c>
      <c r="G92" t="s">
        <v>633</v>
      </c>
      <c r="H92" t="s">
        <v>634</v>
      </c>
      <c r="I92" t="s">
        <v>422</v>
      </c>
      <c r="J92" t="s">
        <v>635</v>
      </c>
      <c r="K92">
        <v>109</v>
      </c>
      <c r="L92" t="s">
        <v>276</v>
      </c>
      <c r="M92">
        <f>Table1[[#This Row],[Sales Volume]]*Table1[[#This Row],[price(USD)]]</f>
        <v>166225</v>
      </c>
      <c r="N92" t="s">
        <v>277</v>
      </c>
      <c r="O92" t="s">
        <v>278</v>
      </c>
      <c r="P92" t="str">
        <f>HYPERLINK(Table1[[#This Row],[url]],Table1[[#This Row],[name]])</f>
        <v>BOMBER JACKET</v>
      </c>
      <c r="Q92" t="str">
        <f>IF(Table1[[#This Row],[price(USD)]]&gt;295.33,"Premimum",IF(Table1[[#This Row],[price(USD)]]&gt;151.66,"Mid Range","Budget"))</f>
        <v>Budget</v>
      </c>
      <c r="R92" t="str">
        <f>IF(Table1[[#This Row],[Sales Volume]]&gt;2169,"Best Seller",IF(Table1[[#This Row],[Sales Volume]]&gt;1349,"Average","Slow seller"))</f>
        <v>Average</v>
      </c>
    </row>
    <row r="93" spans="1:18">
      <c r="A93">
        <v>150424</v>
      </c>
      <c r="B93" t="s">
        <v>307</v>
      </c>
      <c r="C93" t="s">
        <v>270</v>
      </c>
      <c r="D93" t="s">
        <v>271</v>
      </c>
      <c r="E93" t="s">
        <v>287</v>
      </c>
      <c r="F93">
        <v>2067</v>
      </c>
      <c r="G93" t="s">
        <v>747</v>
      </c>
      <c r="H93" t="s">
        <v>748</v>
      </c>
      <c r="I93" t="s">
        <v>749</v>
      </c>
      <c r="J93" t="s">
        <v>750</v>
      </c>
      <c r="K93">
        <v>79.900000000000006</v>
      </c>
      <c r="L93" t="s">
        <v>276</v>
      </c>
      <c r="M93">
        <f>Table1[[#This Row],[Sales Volume]]*Table1[[#This Row],[price(USD)]]</f>
        <v>165153.30000000002</v>
      </c>
      <c r="N93" t="s">
        <v>277</v>
      </c>
      <c r="O93" t="s">
        <v>278</v>
      </c>
      <c r="P93" t="str">
        <f>HYPERLINK(Table1[[#This Row],[url]],Table1[[#This Row],[name]])</f>
        <v>PADDED CORDUROY OVERSHIRT</v>
      </c>
      <c r="Q93" t="str">
        <f>IF(Table1[[#This Row],[price(USD)]]&gt;295.33,"Premimum",IF(Table1[[#This Row],[price(USD)]]&gt;151.66,"Mid Range","Budget"))</f>
        <v>Budget</v>
      </c>
      <c r="R93" t="str">
        <f>IF(Table1[[#This Row],[Sales Volume]]&gt;2169,"Best Seller",IF(Table1[[#This Row],[Sales Volume]]&gt;1349,"Average","Slow seller"))</f>
        <v>Average</v>
      </c>
    </row>
    <row r="94" spans="1:18">
      <c r="A94">
        <v>124088</v>
      </c>
      <c r="B94" t="s">
        <v>286</v>
      </c>
      <c r="C94" t="s">
        <v>287</v>
      </c>
      <c r="D94" t="s">
        <v>271</v>
      </c>
      <c r="E94" t="s">
        <v>287</v>
      </c>
      <c r="F94">
        <v>2065</v>
      </c>
      <c r="G94" t="s">
        <v>506</v>
      </c>
      <c r="H94" t="s">
        <v>507</v>
      </c>
      <c r="I94" t="s">
        <v>508</v>
      </c>
      <c r="J94" t="s">
        <v>509</v>
      </c>
      <c r="K94">
        <v>79.900000000000006</v>
      </c>
      <c r="L94" t="s">
        <v>276</v>
      </c>
      <c r="M94">
        <f>Table1[[#This Row],[Sales Volume]]*Table1[[#This Row],[price(USD)]]</f>
        <v>164993.5</v>
      </c>
      <c r="N94" t="s">
        <v>277</v>
      </c>
      <c r="O94" t="s">
        <v>278</v>
      </c>
      <c r="P94" t="str">
        <f>HYPERLINK(Table1[[#This Row],[url]],Table1[[#This Row],[name]])</f>
        <v>EMBROIDERED PATCH JACKET</v>
      </c>
      <c r="Q94" t="str">
        <f>IF(Table1[[#This Row],[price(USD)]]&gt;295.33,"Premimum",IF(Table1[[#This Row],[price(USD)]]&gt;151.66,"Mid Range","Budget"))</f>
        <v>Budget</v>
      </c>
      <c r="R94" t="str">
        <f>IF(Table1[[#This Row],[Sales Volume]]&gt;2169,"Best Seller",IF(Table1[[#This Row],[Sales Volume]]&gt;1349,"Average","Slow seller"))</f>
        <v>Average</v>
      </c>
    </row>
    <row r="95" spans="1:18">
      <c r="A95">
        <v>135610</v>
      </c>
      <c r="B95" t="s">
        <v>269</v>
      </c>
      <c r="C95" t="s">
        <v>287</v>
      </c>
      <c r="D95" t="s">
        <v>271</v>
      </c>
      <c r="E95" t="s">
        <v>287</v>
      </c>
      <c r="F95">
        <v>1513</v>
      </c>
      <c r="G95" t="s">
        <v>521</v>
      </c>
      <c r="H95" t="s">
        <v>522</v>
      </c>
      <c r="I95" t="s">
        <v>523</v>
      </c>
      <c r="J95" t="s">
        <v>524</v>
      </c>
      <c r="K95">
        <v>109</v>
      </c>
      <c r="L95" t="s">
        <v>276</v>
      </c>
      <c r="M95">
        <f>Table1[[#This Row],[Sales Volume]]*Table1[[#This Row],[price(USD)]]</f>
        <v>164917</v>
      </c>
      <c r="N95" t="s">
        <v>277</v>
      </c>
      <c r="O95" t="s">
        <v>278</v>
      </c>
      <c r="P95" t="str">
        <f>HYPERLINK(Table1[[#This Row],[url]],Table1[[#This Row],[name]])</f>
        <v>WOOL BLEND JACKET</v>
      </c>
      <c r="Q95" t="str">
        <f>IF(Table1[[#This Row],[price(USD)]]&gt;295.33,"Premimum",IF(Table1[[#This Row],[price(USD)]]&gt;151.66,"Mid Range","Budget"))</f>
        <v>Budget</v>
      </c>
      <c r="R95" t="str">
        <f>IF(Table1[[#This Row],[Sales Volume]]&gt;2169,"Best Seller",IF(Table1[[#This Row],[Sales Volume]]&gt;1349,"Average","Slow seller"))</f>
        <v>Average</v>
      </c>
    </row>
    <row r="96" spans="1:18">
      <c r="A96">
        <v>133109</v>
      </c>
      <c r="B96" t="s">
        <v>307</v>
      </c>
      <c r="C96" t="s">
        <v>270</v>
      </c>
      <c r="D96" t="s">
        <v>271</v>
      </c>
      <c r="E96" t="s">
        <v>287</v>
      </c>
      <c r="F96">
        <v>2063</v>
      </c>
      <c r="G96" t="s">
        <v>438</v>
      </c>
      <c r="H96" t="s">
        <v>439</v>
      </c>
      <c r="I96" t="s">
        <v>440</v>
      </c>
      <c r="J96" t="s">
        <v>441</v>
      </c>
      <c r="K96">
        <v>79.900000000000006</v>
      </c>
      <c r="L96" t="s">
        <v>276</v>
      </c>
      <c r="M96">
        <f>Table1[[#This Row],[Sales Volume]]*Table1[[#This Row],[price(USD)]]</f>
        <v>164833.70000000001</v>
      </c>
      <c r="N96" t="s">
        <v>277</v>
      </c>
      <c r="O96" t="s">
        <v>278</v>
      </c>
      <c r="P96" t="str">
        <f>HYPERLINK(Table1[[#This Row],[url]],Table1[[#This Row],[name]])</f>
        <v>TEXTURED JACKET</v>
      </c>
      <c r="Q96" t="str">
        <f>IF(Table1[[#This Row],[price(USD)]]&gt;295.33,"Premimum",IF(Table1[[#This Row],[price(USD)]]&gt;151.66,"Mid Range","Budget"))</f>
        <v>Budget</v>
      </c>
      <c r="R96" t="str">
        <f>IF(Table1[[#This Row],[Sales Volume]]&gt;2169,"Best Seller",IF(Table1[[#This Row],[Sales Volume]]&gt;1349,"Average","Slow seller"))</f>
        <v>Average</v>
      </c>
    </row>
    <row r="97" spans="1:18">
      <c r="A97">
        <v>124981</v>
      </c>
      <c r="B97" t="s">
        <v>307</v>
      </c>
      <c r="C97" t="s">
        <v>270</v>
      </c>
      <c r="D97" t="s">
        <v>271</v>
      </c>
      <c r="E97" t="s">
        <v>287</v>
      </c>
      <c r="F97">
        <v>1832</v>
      </c>
      <c r="G97" t="s">
        <v>367</v>
      </c>
      <c r="H97" t="s">
        <v>368</v>
      </c>
      <c r="I97" t="s">
        <v>369</v>
      </c>
      <c r="J97" t="s">
        <v>370</v>
      </c>
      <c r="K97">
        <v>89.9</v>
      </c>
      <c r="L97" t="s">
        <v>276</v>
      </c>
      <c r="M97">
        <f>Table1[[#This Row],[Sales Volume]]*Table1[[#This Row],[price(USD)]]</f>
        <v>164696.80000000002</v>
      </c>
      <c r="N97" t="s">
        <v>277</v>
      </c>
      <c r="O97" t="s">
        <v>278</v>
      </c>
      <c r="P97" t="str">
        <f>HYPERLINK(Table1[[#This Row],[url]],Table1[[#This Row],[name]])</f>
        <v>PADDED DENIM JACKET</v>
      </c>
      <c r="Q97" t="str">
        <f>IF(Table1[[#This Row],[price(USD)]]&gt;295.33,"Premimum",IF(Table1[[#This Row],[price(USD)]]&gt;151.66,"Mid Range","Budget"))</f>
        <v>Budget</v>
      </c>
      <c r="R97" t="str">
        <f>IF(Table1[[#This Row],[Sales Volume]]&gt;2169,"Best Seller",IF(Table1[[#This Row],[Sales Volume]]&gt;1349,"Average","Slow seller"))</f>
        <v>Average</v>
      </c>
    </row>
    <row r="98" spans="1:18">
      <c r="A98">
        <v>117725</v>
      </c>
      <c r="B98" t="s">
        <v>269</v>
      </c>
      <c r="C98" t="s">
        <v>270</v>
      </c>
      <c r="D98" t="s">
        <v>271</v>
      </c>
      <c r="E98" t="s">
        <v>287</v>
      </c>
      <c r="F98">
        <v>1506</v>
      </c>
      <c r="G98" t="s">
        <v>553</v>
      </c>
      <c r="H98" t="s">
        <v>554</v>
      </c>
      <c r="I98" t="s">
        <v>555</v>
      </c>
      <c r="J98" t="s">
        <v>556</v>
      </c>
      <c r="K98">
        <v>109</v>
      </c>
      <c r="L98" t="s">
        <v>276</v>
      </c>
      <c r="M98">
        <f>Table1[[#This Row],[Sales Volume]]*Table1[[#This Row],[price(USD)]]</f>
        <v>164154</v>
      </c>
      <c r="N98" t="s">
        <v>277</v>
      </c>
      <c r="O98" t="s">
        <v>278</v>
      </c>
      <c r="P98" t="str">
        <f>HYPERLINK(Table1[[#This Row],[url]],Table1[[#This Row],[name]])</f>
        <v>CONTRASTING PATCHES HOODED JACKET</v>
      </c>
      <c r="Q98" t="str">
        <f>IF(Table1[[#This Row],[price(USD)]]&gt;295.33,"Premimum",IF(Table1[[#This Row],[price(USD)]]&gt;151.66,"Mid Range","Budget"))</f>
        <v>Budget</v>
      </c>
      <c r="R98" t="str">
        <f>IF(Table1[[#This Row],[Sales Volume]]&gt;2169,"Best Seller",IF(Table1[[#This Row],[Sales Volume]]&gt;1349,"Average","Slow seller"))</f>
        <v>Average</v>
      </c>
    </row>
    <row r="99" spans="1:18">
      <c r="A99">
        <v>175927</v>
      </c>
      <c r="B99" t="s">
        <v>286</v>
      </c>
      <c r="C99" t="s">
        <v>270</v>
      </c>
      <c r="D99" t="s">
        <v>271</v>
      </c>
      <c r="E99" t="s">
        <v>287</v>
      </c>
      <c r="F99">
        <v>1506</v>
      </c>
      <c r="G99" t="s">
        <v>735</v>
      </c>
      <c r="H99" t="s">
        <v>736</v>
      </c>
      <c r="I99" t="s">
        <v>737</v>
      </c>
      <c r="J99" t="s">
        <v>738</v>
      </c>
      <c r="K99">
        <v>109</v>
      </c>
      <c r="L99" t="s">
        <v>276</v>
      </c>
      <c r="M99">
        <f>Table1[[#This Row],[Sales Volume]]*Table1[[#This Row],[price(USD)]]</f>
        <v>164154</v>
      </c>
      <c r="N99" t="s">
        <v>277</v>
      </c>
      <c r="O99" t="s">
        <v>278</v>
      </c>
      <c r="P99" t="str">
        <f>HYPERLINK(Table1[[#This Row],[url]],Table1[[#This Row],[name]])</f>
        <v>ZIPPERED WOOL BLEND OVERSHIRT</v>
      </c>
      <c r="Q99" t="str">
        <f>IF(Table1[[#This Row],[price(USD)]]&gt;295.33,"Premimum",IF(Table1[[#This Row],[price(USD)]]&gt;151.66,"Mid Range","Budget"))</f>
        <v>Budget</v>
      </c>
      <c r="R99" t="str">
        <f>IF(Table1[[#This Row],[Sales Volume]]&gt;2169,"Best Seller",IF(Table1[[#This Row],[Sales Volume]]&gt;1349,"Average","Slow seller"))</f>
        <v>Average</v>
      </c>
    </row>
    <row r="100" spans="1:18">
      <c r="A100">
        <v>111979</v>
      </c>
      <c r="B100" t="s">
        <v>307</v>
      </c>
      <c r="C100" t="s">
        <v>270</v>
      </c>
      <c r="D100" t="s">
        <v>271</v>
      </c>
      <c r="E100" t="s">
        <v>270</v>
      </c>
      <c r="F100">
        <v>2734</v>
      </c>
      <c r="G100" t="s">
        <v>847</v>
      </c>
      <c r="H100" t="s">
        <v>848</v>
      </c>
      <c r="I100" t="s">
        <v>849</v>
      </c>
      <c r="J100" t="s">
        <v>850</v>
      </c>
      <c r="K100">
        <v>59.9</v>
      </c>
      <c r="L100" t="s">
        <v>276</v>
      </c>
      <c r="M100">
        <f>Table1[[#This Row],[Sales Volume]]*Table1[[#This Row],[price(USD)]]</f>
        <v>163766.6</v>
      </c>
      <c r="N100" t="s">
        <v>774</v>
      </c>
      <c r="O100" t="s">
        <v>278</v>
      </c>
      <c r="P100" t="str">
        <f>HYPERLINK(Table1[[#This Row],[url]],Table1[[#This Row],[name]])</f>
        <v>CHUNKY SNEAKERS</v>
      </c>
      <c r="Q100" t="str">
        <f>IF(Table1[[#This Row],[price(USD)]]&gt;295.33,"Premimum",IF(Table1[[#This Row],[price(USD)]]&gt;151.66,"Mid Range","Budget"))</f>
        <v>Budget</v>
      </c>
      <c r="R100" t="str">
        <f>IF(Table1[[#This Row],[Sales Volume]]&gt;2169,"Best Seller",IF(Table1[[#This Row],[Sales Volume]]&gt;1349,"Average","Slow seller"))</f>
        <v>Best Seller</v>
      </c>
    </row>
    <row r="101" spans="1:18">
      <c r="A101">
        <v>194339</v>
      </c>
      <c r="B101" t="s">
        <v>286</v>
      </c>
      <c r="C101" t="s">
        <v>270</v>
      </c>
      <c r="D101" t="s">
        <v>271</v>
      </c>
      <c r="E101" t="s">
        <v>270</v>
      </c>
      <c r="F101">
        <v>1792</v>
      </c>
      <c r="G101" t="s">
        <v>424</v>
      </c>
      <c r="H101" t="s">
        <v>425</v>
      </c>
      <c r="I101" t="s">
        <v>426</v>
      </c>
      <c r="J101" t="s">
        <v>427</v>
      </c>
      <c r="K101">
        <v>89.9</v>
      </c>
      <c r="L101" t="s">
        <v>276</v>
      </c>
      <c r="M101">
        <f>Table1[[#This Row],[Sales Volume]]*Table1[[#This Row],[price(USD)]]</f>
        <v>161100.80000000002</v>
      </c>
      <c r="N101" t="s">
        <v>277</v>
      </c>
      <c r="O101" t="s">
        <v>278</v>
      </c>
      <c r="P101" t="str">
        <f>HYPERLINK(Table1[[#This Row],[url]],Table1[[#This Row],[name]])</f>
        <v>FAUX SUEDE JACKET</v>
      </c>
      <c r="Q101" t="str">
        <f>IF(Table1[[#This Row],[price(USD)]]&gt;295.33,"Premimum",IF(Table1[[#This Row],[price(USD)]]&gt;151.66,"Mid Range","Budget"))</f>
        <v>Budget</v>
      </c>
      <c r="R101" t="str">
        <f>IF(Table1[[#This Row],[Sales Volume]]&gt;2169,"Best Seller",IF(Table1[[#This Row],[Sales Volume]]&gt;1349,"Average","Slow seller"))</f>
        <v>Average</v>
      </c>
    </row>
    <row r="102" spans="1:18">
      <c r="A102">
        <v>111760</v>
      </c>
      <c r="B102" t="s">
        <v>286</v>
      </c>
      <c r="C102" t="s">
        <v>270</v>
      </c>
      <c r="D102" t="s">
        <v>271</v>
      </c>
      <c r="E102" t="s">
        <v>270</v>
      </c>
      <c r="F102">
        <v>1474</v>
      </c>
      <c r="G102" t="s">
        <v>450</v>
      </c>
      <c r="H102" t="s">
        <v>451</v>
      </c>
      <c r="I102" t="s">
        <v>452</v>
      </c>
      <c r="J102" t="s">
        <v>453</v>
      </c>
      <c r="K102">
        <v>109</v>
      </c>
      <c r="L102" t="s">
        <v>276</v>
      </c>
      <c r="M102">
        <f>Table1[[#This Row],[Sales Volume]]*Table1[[#This Row],[price(USD)]]</f>
        <v>160666</v>
      </c>
      <c r="N102" t="s">
        <v>277</v>
      </c>
      <c r="O102" t="s">
        <v>278</v>
      </c>
      <c r="P102" t="str">
        <f>HYPERLINK(Table1[[#This Row],[url]],Table1[[#This Row],[name]])</f>
        <v>TECHNICAL JACKET WITH POCKETS</v>
      </c>
      <c r="Q102" t="str">
        <f>IF(Table1[[#This Row],[price(USD)]]&gt;295.33,"Premimum",IF(Table1[[#This Row],[price(USD)]]&gt;151.66,"Mid Range","Budget"))</f>
        <v>Budget</v>
      </c>
      <c r="R102" t="str">
        <f>IF(Table1[[#This Row],[Sales Volume]]&gt;2169,"Best Seller",IF(Table1[[#This Row],[Sales Volume]]&gt;1349,"Average","Slow seller"))</f>
        <v>Average</v>
      </c>
    </row>
    <row r="103" spans="1:18">
      <c r="A103">
        <v>168571</v>
      </c>
      <c r="B103" t="s">
        <v>269</v>
      </c>
      <c r="C103" t="s">
        <v>270</v>
      </c>
      <c r="D103" t="s">
        <v>271</v>
      </c>
      <c r="E103" t="s">
        <v>270</v>
      </c>
      <c r="F103">
        <v>1778</v>
      </c>
      <c r="G103" t="s">
        <v>697</v>
      </c>
      <c r="H103" t="s">
        <v>698</v>
      </c>
      <c r="I103" t="s">
        <v>603</v>
      </c>
      <c r="J103" t="s">
        <v>699</v>
      </c>
      <c r="K103">
        <v>89.9</v>
      </c>
      <c r="L103" t="s">
        <v>276</v>
      </c>
      <c r="M103">
        <f>Table1[[#This Row],[Sales Volume]]*Table1[[#This Row],[price(USD)]]</f>
        <v>159842.20000000001</v>
      </c>
      <c r="N103" t="s">
        <v>277</v>
      </c>
      <c r="O103" t="s">
        <v>278</v>
      </c>
      <c r="P103" t="str">
        <f>HYPERLINK(Table1[[#This Row],[url]],Table1[[#This Row],[name]])</f>
        <v>POCKET OVERSHIRT</v>
      </c>
      <c r="Q103" t="str">
        <f>IF(Table1[[#This Row],[price(USD)]]&gt;295.33,"Premimum",IF(Table1[[#This Row],[price(USD)]]&gt;151.66,"Mid Range","Budget"))</f>
        <v>Budget</v>
      </c>
      <c r="R103" t="str">
        <f>IF(Table1[[#This Row],[Sales Volume]]&gt;2169,"Best Seller",IF(Table1[[#This Row],[Sales Volume]]&gt;1349,"Average","Slow seller"))</f>
        <v>Average</v>
      </c>
    </row>
    <row r="104" spans="1:18">
      <c r="A104">
        <v>156342</v>
      </c>
      <c r="B104" t="s">
        <v>307</v>
      </c>
      <c r="C104" t="s">
        <v>287</v>
      </c>
      <c r="D104" t="s">
        <v>271</v>
      </c>
      <c r="E104" t="s">
        <v>287</v>
      </c>
      <c r="F104">
        <v>1466</v>
      </c>
      <c r="G104" t="s">
        <v>1053</v>
      </c>
      <c r="H104" t="s">
        <v>1054</v>
      </c>
      <c r="I104" t="s">
        <v>1055</v>
      </c>
      <c r="J104" t="s">
        <v>1056</v>
      </c>
      <c r="K104">
        <v>109</v>
      </c>
      <c r="L104" t="s">
        <v>276</v>
      </c>
      <c r="M104">
        <f>Table1[[#This Row],[Sales Volume]]*Table1[[#This Row],[price(USD)]]</f>
        <v>159794</v>
      </c>
      <c r="N104" t="s">
        <v>1042</v>
      </c>
      <c r="O104" t="s">
        <v>278</v>
      </c>
      <c r="P104" t="str">
        <f>HYPERLINK(Table1[[#This Row],[url]],Table1[[#This Row],[name]])</f>
        <v>FLARED FIT CARGO JEANS</v>
      </c>
      <c r="Q104" t="str">
        <f>IF(Table1[[#This Row],[price(USD)]]&gt;295.33,"Premimum",IF(Table1[[#This Row],[price(USD)]]&gt;151.66,"Mid Range","Budget"))</f>
        <v>Budget</v>
      </c>
      <c r="R104" t="str">
        <f>IF(Table1[[#This Row],[Sales Volume]]&gt;2169,"Best Seller",IF(Table1[[#This Row],[Sales Volume]]&gt;1349,"Average","Slow seller"))</f>
        <v>Average</v>
      </c>
    </row>
    <row r="105" spans="1:18">
      <c r="A105">
        <v>183064</v>
      </c>
      <c r="B105" t="s">
        <v>307</v>
      </c>
      <c r="C105" t="s">
        <v>287</v>
      </c>
      <c r="D105" t="s">
        <v>271</v>
      </c>
      <c r="E105" t="s">
        <v>270</v>
      </c>
      <c r="F105">
        <v>1773</v>
      </c>
      <c r="G105" t="s">
        <v>601</v>
      </c>
      <c r="H105" t="s">
        <v>602</v>
      </c>
      <c r="I105" t="s">
        <v>603</v>
      </c>
      <c r="J105" t="s">
        <v>604</v>
      </c>
      <c r="K105">
        <v>89.9</v>
      </c>
      <c r="L105" t="s">
        <v>276</v>
      </c>
      <c r="M105">
        <f>Table1[[#This Row],[Sales Volume]]*Table1[[#This Row],[price(USD)]]</f>
        <v>159392.70000000001</v>
      </c>
      <c r="N105" t="s">
        <v>277</v>
      </c>
      <c r="O105" t="s">
        <v>278</v>
      </c>
      <c r="P105" t="str">
        <f>HYPERLINK(Table1[[#This Row],[url]],Table1[[#This Row],[name]])</f>
        <v>POCKET OVERSHIRT</v>
      </c>
      <c r="Q105" t="str">
        <f>IF(Table1[[#This Row],[price(USD)]]&gt;295.33,"Premimum",IF(Table1[[#This Row],[price(USD)]]&gt;151.66,"Mid Range","Budget"))</f>
        <v>Budget</v>
      </c>
      <c r="R105" t="str">
        <f>IF(Table1[[#This Row],[Sales Volume]]&gt;2169,"Best Seller",IF(Table1[[#This Row],[Sales Volume]]&gt;1349,"Average","Slow seller"))</f>
        <v>Average</v>
      </c>
    </row>
    <row r="106" spans="1:18">
      <c r="A106">
        <v>123985</v>
      </c>
      <c r="B106" t="s">
        <v>286</v>
      </c>
      <c r="C106" t="s">
        <v>270</v>
      </c>
      <c r="D106" t="s">
        <v>271</v>
      </c>
      <c r="E106" t="s">
        <v>270</v>
      </c>
      <c r="F106">
        <v>2240</v>
      </c>
      <c r="G106" t="s">
        <v>783</v>
      </c>
      <c r="H106" t="s">
        <v>784</v>
      </c>
      <c r="I106" t="s">
        <v>785</v>
      </c>
      <c r="J106" t="s">
        <v>786</v>
      </c>
      <c r="K106">
        <v>69.900000000000006</v>
      </c>
      <c r="L106" t="s">
        <v>276</v>
      </c>
      <c r="M106">
        <f>Table1[[#This Row],[Sales Volume]]*Table1[[#This Row],[price(USD)]]</f>
        <v>156576</v>
      </c>
      <c r="N106" t="s">
        <v>774</v>
      </c>
      <c r="O106" t="s">
        <v>278</v>
      </c>
      <c r="P106" t="str">
        <f>HYPERLINK(Table1[[#This Row],[url]],Table1[[#This Row],[name]])</f>
        <v>MULTICOLOR SNEAKERS</v>
      </c>
      <c r="Q106" t="str">
        <f>IF(Table1[[#This Row],[price(USD)]]&gt;295.33,"Premimum",IF(Table1[[#This Row],[price(USD)]]&gt;151.66,"Mid Range","Budget"))</f>
        <v>Budget</v>
      </c>
      <c r="R106" t="str">
        <f>IF(Table1[[#This Row],[Sales Volume]]&gt;2169,"Best Seller",IF(Table1[[#This Row],[Sales Volume]]&gt;1349,"Average","Slow seller"))</f>
        <v>Best Seller</v>
      </c>
    </row>
    <row r="107" spans="1:18">
      <c r="A107">
        <v>115873</v>
      </c>
      <c r="B107" t="s">
        <v>286</v>
      </c>
      <c r="C107" t="s">
        <v>287</v>
      </c>
      <c r="D107" t="s">
        <v>271</v>
      </c>
      <c r="E107" t="s">
        <v>287</v>
      </c>
      <c r="F107">
        <v>2606</v>
      </c>
      <c r="G107" t="s">
        <v>987</v>
      </c>
      <c r="H107" t="s">
        <v>988</v>
      </c>
      <c r="I107" t="s">
        <v>989</v>
      </c>
      <c r="J107" t="s">
        <v>990</v>
      </c>
      <c r="K107">
        <v>59.9</v>
      </c>
      <c r="L107" t="s">
        <v>276</v>
      </c>
      <c r="M107">
        <f>Table1[[#This Row],[Sales Volume]]*Table1[[#This Row],[price(USD)]]</f>
        <v>156099.4</v>
      </c>
      <c r="N107" t="s">
        <v>893</v>
      </c>
      <c r="O107" t="s">
        <v>894</v>
      </c>
      <c r="P107" t="str">
        <f>HYPERLINK(Table1[[#This Row],[url]],Table1[[#This Row],[name]])</f>
        <v>CONTRAST TOPSTITCHING CROP KNIT SWEATER</v>
      </c>
      <c r="Q107" t="str">
        <f>IF(Table1[[#This Row],[price(USD)]]&gt;295.33,"Premimum",IF(Table1[[#This Row],[price(USD)]]&gt;151.66,"Mid Range","Budget"))</f>
        <v>Budget</v>
      </c>
      <c r="R107" t="str">
        <f>IF(Table1[[#This Row],[Sales Volume]]&gt;2169,"Best Seller",IF(Table1[[#This Row],[Sales Volume]]&gt;1349,"Average","Slow seller"))</f>
        <v>Best Seller</v>
      </c>
    </row>
    <row r="108" spans="1:18">
      <c r="A108">
        <v>187234</v>
      </c>
      <c r="B108" t="s">
        <v>307</v>
      </c>
      <c r="C108" t="s">
        <v>287</v>
      </c>
      <c r="D108" t="s">
        <v>271</v>
      </c>
      <c r="E108" t="s">
        <v>287</v>
      </c>
      <c r="F108">
        <v>2575</v>
      </c>
      <c r="G108" t="s">
        <v>391</v>
      </c>
      <c r="H108" t="s">
        <v>392</v>
      </c>
      <c r="I108" t="s">
        <v>393</v>
      </c>
      <c r="J108" t="s">
        <v>394</v>
      </c>
      <c r="K108">
        <v>59.9</v>
      </c>
      <c r="L108" t="s">
        <v>276</v>
      </c>
      <c r="M108">
        <f>Table1[[#This Row],[Sales Volume]]*Table1[[#This Row],[price(USD)]]</f>
        <v>154242.5</v>
      </c>
      <c r="N108" t="s">
        <v>277</v>
      </c>
      <c r="O108" t="s">
        <v>278</v>
      </c>
      <c r="P108" t="str">
        <f>HYPERLINK(Table1[[#This Row],[url]],Table1[[#This Row],[name]])</f>
        <v>STRETCH POCKET OVERSHIRT</v>
      </c>
      <c r="Q108" t="str">
        <f>IF(Table1[[#This Row],[price(USD)]]&gt;295.33,"Premimum",IF(Table1[[#This Row],[price(USD)]]&gt;151.66,"Mid Range","Budget"))</f>
        <v>Budget</v>
      </c>
      <c r="R108" t="str">
        <f>IF(Table1[[#This Row],[Sales Volume]]&gt;2169,"Best Seller",IF(Table1[[#This Row],[Sales Volume]]&gt;1349,"Average","Slow seller"))</f>
        <v>Best Seller</v>
      </c>
    </row>
    <row r="109" spans="1:18">
      <c r="A109">
        <v>198375</v>
      </c>
      <c r="B109" t="s">
        <v>286</v>
      </c>
      <c r="C109" t="s">
        <v>270</v>
      </c>
      <c r="D109" t="s">
        <v>271</v>
      </c>
      <c r="E109" t="s">
        <v>270</v>
      </c>
      <c r="F109">
        <v>2202</v>
      </c>
      <c r="G109" t="s">
        <v>454</v>
      </c>
      <c r="H109" t="s">
        <v>455</v>
      </c>
      <c r="I109" t="s">
        <v>346</v>
      </c>
      <c r="J109" t="s">
        <v>456</v>
      </c>
      <c r="K109">
        <v>69.900000000000006</v>
      </c>
      <c r="L109" t="s">
        <v>276</v>
      </c>
      <c r="M109">
        <f>Table1[[#This Row],[Sales Volume]]*Table1[[#This Row],[price(USD)]]</f>
        <v>153919.80000000002</v>
      </c>
      <c r="N109" t="s">
        <v>277</v>
      </c>
      <c r="O109" t="s">
        <v>278</v>
      </c>
      <c r="P109" t="str">
        <f>HYPERLINK(Table1[[#This Row],[url]],Table1[[#This Row],[name]])</f>
        <v>FAUX LEATHER JACKET</v>
      </c>
      <c r="Q109" t="str">
        <f>IF(Table1[[#This Row],[price(USD)]]&gt;295.33,"Premimum",IF(Table1[[#This Row],[price(USD)]]&gt;151.66,"Mid Range","Budget"))</f>
        <v>Budget</v>
      </c>
      <c r="R109" t="str">
        <f>IF(Table1[[#This Row],[Sales Volume]]&gt;2169,"Best Seller",IF(Table1[[#This Row],[Sales Volume]]&gt;1349,"Average","Slow seller"))</f>
        <v>Best Seller</v>
      </c>
    </row>
    <row r="110" spans="1:18">
      <c r="A110">
        <v>135490</v>
      </c>
      <c r="B110" t="s">
        <v>307</v>
      </c>
      <c r="C110" t="s">
        <v>270</v>
      </c>
      <c r="D110" t="s">
        <v>271</v>
      </c>
      <c r="E110" t="s">
        <v>270</v>
      </c>
      <c r="F110">
        <v>1094</v>
      </c>
      <c r="G110" t="s">
        <v>572</v>
      </c>
      <c r="H110" t="s">
        <v>573</v>
      </c>
      <c r="I110" t="s">
        <v>574</v>
      </c>
      <c r="J110" t="s">
        <v>575</v>
      </c>
      <c r="K110">
        <v>139</v>
      </c>
      <c r="L110" t="s">
        <v>276</v>
      </c>
      <c r="M110">
        <f>Table1[[#This Row],[Sales Volume]]*Table1[[#This Row],[price(USD)]]</f>
        <v>152066</v>
      </c>
      <c r="N110" t="s">
        <v>277</v>
      </c>
      <c r="O110" t="s">
        <v>278</v>
      </c>
      <c r="P110" t="str">
        <f>HYPERLINK(Table1[[#This Row],[url]],Table1[[#This Row],[name]])</f>
        <v>MIXED COLLAR WAXED JACKET</v>
      </c>
      <c r="Q110" t="str">
        <f>IF(Table1[[#This Row],[price(USD)]]&gt;295.33,"Premimum",IF(Table1[[#This Row],[price(USD)]]&gt;151.66,"Mid Range","Budget"))</f>
        <v>Budget</v>
      </c>
      <c r="R110" t="str">
        <f>IF(Table1[[#This Row],[Sales Volume]]&gt;2169,"Best Seller",IF(Table1[[#This Row],[Sales Volume]]&gt;1349,"Average","Slow seller"))</f>
        <v>Slow seller</v>
      </c>
    </row>
    <row r="111" spans="1:18">
      <c r="A111">
        <v>148230</v>
      </c>
      <c r="B111" t="s">
        <v>307</v>
      </c>
      <c r="C111" t="s">
        <v>287</v>
      </c>
      <c r="D111" t="s">
        <v>271</v>
      </c>
      <c r="E111" t="s">
        <v>270</v>
      </c>
      <c r="F111">
        <v>2494</v>
      </c>
      <c r="G111" t="s">
        <v>959</v>
      </c>
      <c r="H111" t="s">
        <v>960</v>
      </c>
      <c r="I111" t="s">
        <v>961</v>
      </c>
      <c r="J111" t="s">
        <v>962</v>
      </c>
      <c r="K111">
        <v>59.9</v>
      </c>
      <c r="L111" t="s">
        <v>276</v>
      </c>
      <c r="M111">
        <f>Table1[[#This Row],[Sales Volume]]*Table1[[#This Row],[price(USD)]]</f>
        <v>149390.6</v>
      </c>
      <c r="N111" t="s">
        <v>893</v>
      </c>
      <c r="O111" t="s">
        <v>894</v>
      </c>
      <c r="P111" t="str">
        <f>HYPERLINK(Table1[[#This Row],[url]],Table1[[#This Row],[name]])</f>
        <v>JEWEL KNIT SWEATER</v>
      </c>
      <c r="Q111" t="str">
        <f>IF(Table1[[#This Row],[price(USD)]]&gt;295.33,"Premimum",IF(Table1[[#This Row],[price(USD)]]&gt;151.66,"Mid Range","Budget"))</f>
        <v>Budget</v>
      </c>
      <c r="R111" t="str">
        <f>IF(Table1[[#This Row],[Sales Volume]]&gt;2169,"Best Seller",IF(Table1[[#This Row],[Sales Volume]]&gt;1349,"Average","Slow seller"))</f>
        <v>Best Seller</v>
      </c>
    </row>
    <row r="112" spans="1:18">
      <c r="A112">
        <v>119049</v>
      </c>
      <c r="B112" t="s">
        <v>269</v>
      </c>
      <c r="C112" t="s">
        <v>270</v>
      </c>
      <c r="D112" t="s">
        <v>271</v>
      </c>
      <c r="E112" t="s">
        <v>287</v>
      </c>
      <c r="F112">
        <v>1659</v>
      </c>
      <c r="G112" t="s">
        <v>707</v>
      </c>
      <c r="H112" t="s">
        <v>708</v>
      </c>
      <c r="I112" t="s">
        <v>709</v>
      </c>
      <c r="J112" t="s">
        <v>710</v>
      </c>
      <c r="K112">
        <v>89.9</v>
      </c>
      <c r="L112" t="s">
        <v>276</v>
      </c>
      <c r="M112">
        <f>Table1[[#This Row],[Sales Volume]]*Table1[[#This Row],[price(USD)]]</f>
        <v>149144.1</v>
      </c>
      <c r="N112" t="s">
        <v>277</v>
      </c>
      <c r="O112" t="s">
        <v>278</v>
      </c>
      <c r="P112" t="str">
        <f>HYPERLINK(Table1[[#This Row],[url]],Table1[[#This Row],[name]])</f>
        <v>POCKET DENIM OVERSHIRT</v>
      </c>
      <c r="Q112" t="str">
        <f>IF(Table1[[#This Row],[price(USD)]]&gt;295.33,"Premimum",IF(Table1[[#This Row],[price(USD)]]&gt;151.66,"Mid Range","Budget"))</f>
        <v>Budget</v>
      </c>
      <c r="R112" t="str">
        <f>IF(Table1[[#This Row],[Sales Volume]]&gt;2169,"Best Seller",IF(Table1[[#This Row],[Sales Volume]]&gt;1349,"Average","Slow seller"))</f>
        <v>Average</v>
      </c>
    </row>
    <row r="113" spans="1:18">
      <c r="A113">
        <v>131298</v>
      </c>
      <c r="B113" t="s">
        <v>286</v>
      </c>
      <c r="C113" t="s">
        <v>287</v>
      </c>
      <c r="D113" t="s">
        <v>271</v>
      </c>
      <c r="E113" t="s">
        <v>270</v>
      </c>
      <c r="F113">
        <v>2133</v>
      </c>
      <c r="G113" t="s">
        <v>693</v>
      </c>
      <c r="H113" t="s">
        <v>694</v>
      </c>
      <c r="I113" t="s">
        <v>695</v>
      </c>
      <c r="J113" t="s">
        <v>696</v>
      </c>
      <c r="K113">
        <v>69.900000000000006</v>
      </c>
      <c r="L113" t="s">
        <v>276</v>
      </c>
      <c r="M113">
        <f>Table1[[#This Row],[Sales Volume]]*Table1[[#This Row],[price(USD)]]</f>
        <v>149096.70000000001</v>
      </c>
      <c r="N113" t="s">
        <v>277</v>
      </c>
      <c r="O113" t="s">
        <v>278</v>
      </c>
      <c r="P113" t="str">
        <f>HYPERLINK(Table1[[#This Row],[url]],Table1[[#This Row],[name]])</f>
        <v>PLAID OVERSHIRT</v>
      </c>
      <c r="Q113" t="str">
        <f>IF(Table1[[#This Row],[price(USD)]]&gt;295.33,"Premimum",IF(Table1[[#This Row],[price(USD)]]&gt;151.66,"Mid Range","Budget"))</f>
        <v>Budget</v>
      </c>
      <c r="R113" t="str">
        <f>IF(Table1[[#This Row],[Sales Volume]]&gt;2169,"Best Seller",IF(Table1[[#This Row],[Sales Volume]]&gt;1349,"Average","Slow seller"))</f>
        <v>Average</v>
      </c>
    </row>
    <row r="114" spans="1:18">
      <c r="A114">
        <v>114550</v>
      </c>
      <c r="B114" t="s">
        <v>286</v>
      </c>
      <c r="C114" t="s">
        <v>270</v>
      </c>
      <c r="D114" t="s">
        <v>271</v>
      </c>
      <c r="E114" t="s">
        <v>270</v>
      </c>
      <c r="F114">
        <v>2114</v>
      </c>
      <c r="G114" t="s">
        <v>775</v>
      </c>
      <c r="H114" t="s">
        <v>776</v>
      </c>
      <c r="I114" t="s">
        <v>777</v>
      </c>
      <c r="J114" t="s">
        <v>778</v>
      </c>
      <c r="K114">
        <v>69.900000000000006</v>
      </c>
      <c r="L114" t="s">
        <v>276</v>
      </c>
      <c r="M114">
        <f>Table1[[#This Row],[Sales Volume]]*Table1[[#This Row],[price(USD)]]</f>
        <v>147768.6</v>
      </c>
      <c r="N114" t="s">
        <v>774</v>
      </c>
      <c r="O114" t="s">
        <v>278</v>
      </c>
      <c r="P114" t="str">
        <f>HYPERLINK(Table1[[#This Row],[url]],Table1[[#This Row],[name]])</f>
        <v>ZIPPER MULTIPIECE SNEAKERS</v>
      </c>
      <c r="Q114" t="str">
        <f>IF(Table1[[#This Row],[price(USD)]]&gt;295.33,"Premimum",IF(Table1[[#This Row],[price(USD)]]&gt;151.66,"Mid Range","Budget"))</f>
        <v>Budget</v>
      </c>
      <c r="R114" t="str">
        <f>IF(Table1[[#This Row],[Sales Volume]]&gt;2169,"Best Seller",IF(Table1[[#This Row],[Sales Volume]]&gt;1349,"Average","Slow seller"))</f>
        <v>Average</v>
      </c>
    </row>
    <row r="115" spans="1:18">
      <c r="A115">
        <v>199368</v>
      </c>
      <c r="B115" t="s">
        <v>307</v>
      </c>
      <c r="C115" t="s">
        <v>270</v>
      </c>
      <c r="D115" t="s">
        <v>271</v>
      </c>
      <c r="E115" t="s">
        <v>287</v>
      </c>
      <c r="F115">
        <v>1061</v>
      </c>
      <c r="G115" t="s">
        <v>565</v>
      </c>
      <c r="H115" t="s">
        <v>566</v>
      </c>
      <c r="I115" t="s">
        <v>523</v>
      </c>
      <c r="J115" t="s">
        <v>567</v>
      </c>
      <c r="K115">
        <v>139</v>
      </c>
      <c r="L115" t="s">
        <v>276</v>
      </c>
      <c r="M115">
        <f>Table1[[#This Row],[Sales Volume]]*Table1[[#This Row],[price(USD)]]</f>
        <v>147479</v>
      </c>
      <c r="N115" t="s">
        <v>277</v>
      </c>
      <c r="O115" t="s">
        <v>278</v>
      </c>
      <c r="P115" t="str">
        <f>HYPERLINK(Table1[[#This Row],[url]],Table1[[#This Row],[name]])</f>
        <v>WOOL BLEND JACKET</v>
      </c>
      <c r="Q115" t="str">
        <f>IF(Table1[[#This Row],[price(USD)]]&gt;295.33,"Premimum",IF(Table1[[#This Row],[price(USD)]]&gt;151.66,"Mid Range","Budget"))</f>
        <v>Budget</v>
      </c>
      <c r="R115" t="str">
        <f>IF(Table1[[#This Row],[Sales Volume]]&gt;2169,"Best Seller",IF(Table1[[#This Row],[Sales Volume]]&gt;1349,"Average","Slow seller"))</f>
        <v>Slow seller</v>
      </c>
    </row>
    <row r="116" spans="1:18">
      <c r="A116">
        <v>163234</v>
      </c>
      <c r="B116" t="s">
        <v>307</v>
      </c>
      <c r="C116" t="s">
        <v>270</v>
      </c>
      <c r="D116" t="s">
        <v>271</v>
      </c>
      <c r="E116" t="s">
        <v>270</v>
      </c>
      <c r="F116">
        <v>1633</v>
      </c>
      <c r="G116" t="s">
        <v>517</v>
      </c>
      <c r="H116" t="s">
        <v>518</v>
      </c>
      <c r="I116" t="s">
        <v>519</v>
      </c>
      <c r="J116" t="s">
        <v>520</v>
      </c>
      <c r="K116">
        <v>89.9</v>
      </c>
      <c r="L116" t="s">
        <v>276</v>
      </c>
      <c r="M116">
        <f>Table1[[#This Row],[Sales Volume]]*Table1[[#This Row],[price(USD)]]</f>
        <v>146806.70000000001</v>
      </c>
      <c r="N116" t="s">
        <v>277</v>
      </c>
      <c r="O116" t="s">
        <v>278</v>
      </c>
      <c r="P116" t="str">
        <f>HYPERLINK(Table1[[#This Row],[url]],Table1[[#This Row],[name]])</f>
        <v>TEXTURED DENIM JACKET LIMITED EDITION</v>
      </c>
      <c r="Q116" t="str">
        <f>IF(Table1[[#This Row],[price(USD)]]&gt;295.33,"Premimum",IF(Table1[[#This Row],[price(USD)]]&gt;151.66,"Mid Range","Budget"))</f>
        <v>Budget</v>
      </c>
      <c r="R116" t="str">
        <f>IF(Table1[[#This Row],[Sales Volume]]&gt;2169,"Best Seller",IF(Table1[[#This Row],[Sales Volume]]&gt;1349,"Average","Slow seller"))</f>
        <v>Average</v>
      </c>
    </row>
    <row r="117" spans="1:18">
      <c r="A117">
        <v>129906</v>
      </c>
      <c r="B117" t="s">
        <v>269</v>
      </c>
      <c r="C117" t="s">
        <v>270</v>
      </c>
      <c r="D117" t="s">
        <v>271</v>
      </c>
      <c r="E117" t="s">
        <v>270</v>
      </c>
      <c r="F117">
        <v>2089</v>
      </c>
      <c r="G117" t="s">
        <v>348</v>
      </c>
      <c r="H117" t="s">
        <v>349</v>
      </c>
      <c r="I117" t="s">
        <v>350</v>
      </c>
      <c r="J117" t="s">
        <v>351</v>
      </c>
      <c r="K117">
        <v>69.900000000000006</v>
      </c>
      <c r="L117" t="s">
        <v>276</v>
      </c>
      <c r="M117">
        <f>Table1[[#This Row],[Sales Volume]]*Table1[[#This Row],[price(USD)]]</f>
        <v>146021.1</v>
      </c>
      <c r="N117" t="s">
        <v>277</v>
      </c>
      <c r="O117" t="s">
        <v>278</v>
      </c>
      <c r="P117" t="str">
        <f>HYPERLINK(Table1[[#This Row],[url]],Table1[[#This Row],[name]])</f>
        <v>FAUX SUEDE BOMBER JACKET</v>
      </c>
      <c r="Q117" t="str">
        <f>IF(Table1[[#This Row],[price(USD)]]&gt;295.33,"Premimum",IF(Table1[[#This Row],[price(USD)]]&gt;151.66,"Mid Range","Budget"))</f>
        <v>Budget</v>
      </c>
      <c r="R117" t="str">
        <f>IF(Table1[[#This Row],[Sales Volume]]&gt;2169,"Best Seller",IF(Table1[[#This Row],[Sales Volume]]&gt;1349,"Average","Slow seller"))</f>
        <v>Average</v>
      </c>
    </row>
    <row r="118" spans="1:18">
      <c r="A118">
        <v>175584</v>
      </c>
      <c r="B118" t="s">
        <v>307</v>
      </c>
      <c r="C118" t="s">
        <v>270</v>
      </c>
      <c r="D118" t="s">
        <v>271</v>
      </c>
      <c r="E118" t="s">
        <v>270</v>
      </c>
      <c r="F118">
        <v>2084</v>
      </c>
      <c r="G118" t="s">
        <v>1038</v>
      </c>
      <c r="H118" t="s">
        <v>1039</v>
      </c>
      <c r="I118" t="s">
        <v>1040</v>
      </c>
      <c r="J118" t="s">
        <v>1041</v>
      </c>
      <c r="K118">
        <v>69.900000000000006</v>
      </c>
      <c r="L118" t="s">
        <v>276</v>
      </c>
      <c r="M118">
        <f>Table1[[#This Row],[Sales Volume]]*Table1[[#This Row],[price(USD)]]</f>
        <v>145671.6</v>
      </c>
      <c r="N118" t="s">
        <v>1042</v>
      </c>
      <c r="O118" t="s">
        <v>278</v>
      </c>
      <c r="P118" t="str">
        <f>HYPERLINK(Table1[[#This Row],[url]],Table1[[#This Row],[name]])</f>
        <v>BAGGY FIT JEANS LIMITED EDITION</v>
      </c>
      <c r="Q118" t="str">
        <f>IF(Table1[[#This Row],[price(USD)]]&gt;295.33,"Premimum",IF(Table1[[#This Row],[price(USD)]]&gt;151.66,"Mid Range","Budget"))</f>
        <v>Budget</v>
      </c>
      <c r="R118" t="str">
        <f>IF(Table1[[#This Row],[Sales Volume]]&gt;2169,"Best Seller",IF(Table1[[#This Row],[Sales Volume]]&gt;1349,"Average","Slow seller"))</f>
        <v>Average</v>
      </c>
    </row>
    <row r="119" spans="1:18">
      <c r="A119">
        <v>194915</v>
      </c>
      <c r="B119" t="s">
        <v>269</v>
      </c>
      <c r="C119" t="s">
        <v>287</v>
      </c>
      <c r="D119" t="s">
        <v>271</v>
      </c>
      <c r="E119" t="s">
        <v>270</v>
      </c>
      <c r="F119">
        <v>1796</v>
      </c>
      <c r="G119" t="s">
        <v>689</v>
      </c>
      <c r="H119" t="s">
        <v>690</v>
      </c>
      <c r="I119" t="s">
        <v>691</v>
      </c>
      <c r="J119" t="s">
        <v>692</v>
      </c>
      <c r="K119">
        <v>79.900000000000006</v>
      </c>
      <c r="L119" t="s">
        <v>276</v>
      </c>
      <c r="M119">
        <f>Table1[[#This Row],[Sales Volume]]*Table1[[#This Row],[price(USD)]]</f>
        <v>143500.40000000002</v>
      </c>
      <c r="N119" t="s">
        <v>277</v>
      </c>
      <c r="O119" t="s">
        <v>278</v>
      </c>
      <c r="P119" t="str">
        <f>HYPERLINK(Table1[[#This Row],[url]],Table1[[#This Row],[name]])</f>
        <v>REVERSIBLE PLAID OVERSHIRT</v>
      </c>
      <c r="Q119" t="str">
        <f>IF(Table1[[#This Row],[price(USD)]]&gt;295.33,"Premimum",IF(Table1[[#This Row],[price(USD)]]&gt;151.66,"Mid Range","Budget"))</f>
        <v>Budget</v>
      </c>
      <c r="R119" t="str">
        <f>IF(Table1[[#This Row],[Sales Volume]]&gt;2169,"Best Seller",IF(Table1[[#This Row],[Sales Volume]]&gt;1349,"Average","Slow seller"))</f>
        <v>Average</v>
      </c>
    </row>
    <row r="120" spans="1:18">
      <c r="A120">
        <v>119955</v>
      </c>
      <c r="B120" t="s">
        <v>307</v>
      </c>
      <c r="C120" t="s">
        <v>270</v>
      </c>
      <c r="D120" t="s">
        <v>271</v>
      </c>
      <c r="E120" t="s">
        <v>270</v>
      </c>
      <c r="F120">
        <v>1590</v>
      </c>
      <c r="G120" t="s">
        <v>475</v>
      </c>
      <c r="H120" t="s">
        <v>476</v>
      </c>
      <c r="I120" t="s">
        <v>422</v>
      </c>
      <c r="J120" t="s">
        <v>477</v>
      </c>
      <c r="K120">
        <v>89.9</v>
      </c>
      <c r="L120" t="s">
        <v>276</v>
      </c>
      <c r="M120">
        <f>Table1[[#This Row],[Sales Volume]]*Table1[[#This Row],[price(USD)]]</f>
        <v>142941</v>
      </c>
      <c r="N120" t="s">
        <v>277</v>
      </c>
      <c r="O120" t="s">
        <v>278</v>
      </c>
      <c r="P120" t="str">
        <f>HYPERLINK(Table1[[#This Row],[url]],Table1[[#This Row],[name]])</f>
        <v>BOMBER JACKET</v>
      </c>
      <c r="Q120" t="str">
        <f>IF(Table1[[#This Row],[price(USD)]]&gt;295.33,"Premimum",IF(Table1[[#This Row],[price(USD)]]&gt;151.66,"Mid Range","Budget"))</f>
        <v>Budget</v>
      </c>
      <c r="R120" t="str">
        <f>IF(Table1[[#This Row],[Sales Volume]]&gt;2169,"Best Seller",IF(Table1[[#This Row],[Sales Volume]]&gt;1349,"Average","Slow seller"))</f>
        <v>Average</v>
      </c>
    </row>
    <row r="121" spans="1:18">
      <c r="A121">
        <v>182362</v>
      </c>
      <c r="B121" t="s">
        <v>307</v>
      </c>
      <c r="C121" t="s">
        <v>270</v>
      </c>
      <c r="D121" t="s">
        <v>271</v>
      </c>
      <c r="E121" t="s">
        <v>270</v>
      </c>
      <c r="F121">
        <v>2019</v>
      </c>
      <c r="G121" t="s">
        <v>549</v>
      </c>
      <c r="H121" t="s">
        <v>550</v>
      </c>
      <c r="I121" t="s">
        <v>551</v>
      </c>
      <c r="J121" t="s">
        <v>552</v>
      </c>
      <c r="K121">
        <v>69.900000000000006</v>
      </c>
      <c r="L121" t="s">
        <v>276</v>
      </c>
      <c r="M121">
        <f>Table1[[#This Row],[Sales Volume]]*Table1[[#This Row],[price(USD)]]</f>
        <v>141128.1</v>
      </c>
      <c r="N121" t="s">
        <v>277</v>
      </c>
      <c r="O121" t="s">
        <v>278</v>
      </c>
      <c r="P121" t="str">
        <f>HYPERLINK(Table1[[#This Row],[url]],Table1[[#This Row],[name]])</f>
        <v>CROPPED OVERSHIRT</v>
      </c>
      <c r="Q121" t="str">
        <f>IF(Table1[[#This Row],[price(USD)]]&gt;295.33,"Premimum",IF(Table1[[#This Row],[price(USD)]]&gt;151.66,"Mid Range","Budget"))</f>
        <v>Budget</v>
      </c>
      <c r="R121" t="str">
        <f>IF(Table1[[#This Row],[Sales Volume]]&gt;2169,"Best Seller",IF(Table1[[#This Row],[Sales Volume]]&gt;1349,"Average","Slow seller"))</f>
        <v>Average</v>
      </c>
    </row>
    <row r="122" spans="1:18">
      <c r="A122">
        <v>120266</v>
      </c>
      <c r="B122" t="s">
        <v>307</v>
      </c>
      <c r="C122" t="s">
        <v>270</v>
      </c>
      <c r="D122" t="s">
        <v>271</v>
      </c>
      <c r="E122" t="s">
        <v>270</v>
      </c>
      <c r="F122">
        <v>2328</v>
      </c>
      <c r="G122" t="s">
        <v>729</v>
      </c>
      <c r="H122" t="s">
        <v>730</v>
      </c>
      <c r="I122" t="s">
        <v>695</v>
      </c>
      <c r="J122" t="s">
        <v>731</v>
      </c>
      <c r="K122">
        <v>59.9</v>
      </c>
      <c r="L122" t="s">
        <v>276</v>
      </c>
      <c r="M122">
        <f>Table1[[#This Row],[Sales Volume]]*Table1[[#This Row],[price(USD)]]</f>
        <v>139447.19999999998</v>
      </c>
      <c r="N122" t="s">
        <v>277</v>
      </c>
      <c r="O122" t="s">
        <v>278</v>
      </c>
      <c r="P122" t="str">
        <f>HYPERLINK(Table1[[#This Row],[url]],Table1[[#This Row],[name]])</f>
        <v>PLAID OVERSHIRT</v>
      </c>
      <c r="Q122" t="str">
        <f>IF(Table1[[#This Row],[price(USD)]]&gt;295.33,"Premimum",IF(Table1[[#This Row],[price(USD)]]&gt;151.66,"Mid Range","Budget"))</f>
        <v>Budget</v>
      </c>
      <c r="R122" t="str">
        <f>IF(Table1[[#This Row],[Sales Volume]]&gt;2169,"Best Seller",IF(Table1[[#This Row],[Sales Volume]]&gt;1349,"Average","Slow seller"))</f>
        <v>Best Seller</v>
      </c>
    </row>
    <row r="123" spans="1:18">
      <c r="A123">
        <v>171520</v>
      </c>
      <c r="B123" t="s">
        <v>286</v>
      </c>
      <c r="C123" t="s">
        <v>287</v>
      </c>
      <c r="D123" t="s">
        <v>271</v>
      </c>
      <c r="E123" t="s">
        <v>287</v>
      </c>
      <c r="F123">
        <v>2901</v>
      </c>
      <c r="G123" t="s">
        <v>975</v>
      </c>
      <c r="H123" t="s">
        <v>976</v>
      </c>
      <c r="I123" t="s">
        <v>977</v>
      </c>
      <c r="J123" t="s">
        <v>978</v>
      </c>
      <c r="K123">
        <v>47.9</v>
      </c>
      <c r="L123" t="s">
        <v>276</v>
      </c>
      <c r="M123">
        <f>Table1[[#This Row],[Sales Volume]]*Table1[[#This Row],[price(USD)]]</f>
        <v>138957.9</v>
      </c>
      <c r="N123" t="s">
        <v>893</v>
      </c>
      <c r="O123" t="s">
        <v>894</v>
      </c>
      <c r="P123" t="str">
        <f>HYPERLINK(Table1[[#This Row],[url]],Table1[[#This Row],[name]])</f>
        <v>GATHERED WAIST KNIT SWEATER</v>
      </c>
      <c r="Q123" t="str">
        <f>IF(Table1[[#This Row],[price(USD)]]&gt;295.33,"Premimum",IF(Table1[[#This Row],[price(USD)]]&gt;151.66,"Mid Range","Budget"))</f>
        <v>Budget</v>
      </c>
      <c r="R123" t="str">
        <f>IF(Table1[[#This Row],[Sales Volume]]&gt;2169,"Best Seller",IF(Table1[[#This Row],[Sales Volume]]&gt;1349,"Average","Slow seller"))</f>
        <v>Best Seller</v>
      </c>
    </row>
    <row r="124" spans="1:18">
      <c r="A124">
        <v>115153</v>
      </c>
      <c r="B124" t="s">
        <v>269</v>
      </c>
      <c r="C124" t="s">
        <v>270</v>
      </c>
      <c r="D124" t="s">
        <v>271</v>
      </c>
      <c r="E124" t="s">
        <v>270</v>
      </c>
      <c r="F124">
        <v>1736</v>
      </c>
      <c r="G124" t="s">
        <v>931</v>
      </c>
      <c r="H124" t="s">
        <v>932</v>
      </c>
      <c r="I124" t="s">
        <v>933</v>
      </c>
      <c r="J124" t="s">
        <v>934</v>
      </c>
      <c r="K124">
        <v>79.900000000000006</v>
      </c>
      <c r="L124" t="s">
        <v>276</v>
      </c>
      <c r="M124">
        <f>Table1[[#This Row],[Sales Volume]]*Table1[[#This Row],[price(USD)]]</f>
        <v>138706.40000000002</v>
      </c>
      <c r="N124" t="s">
        <v>893</v>
      </c>
      <c r="O124" t="s">
        <v>894</v>
      </c>
      <c r="P124" t="str">
        <f>HYPERLINK(Table1[[#This Row],[url]],Table1[[#This Row],[name]])</f>
        <v>ALPACA BLEND OPEN KNIT SWEATER</v>
      </c>
      <c r="Q124" t="str">
        <f>IF(Table1[[#This Row],[price(USD)]]&gt;295.33,"Premimum",IF(Table1[[#This Row],[price(USD)]]&gt;151.66,"Mid Range","Budget"))</f>
        <v>Budget</v>
      </c>
      <c r="R124" t="str">
        <f>IF(Table1[[#This Row],[Sales Volume]]&gt;2169,"Best Seller",IF(Table1[[#This Row],[Sales Volume]]&gt;1349,"Average","Slow seller"))</f>
        <v>Average</v>
      </c>
    </row>
    <row r="125" spans="1:18">
      <c r="A125">
        <v>180661</v>
      </c>
      <c r="B125" t="s">
        <v>307</v>
      </c>
      <c r="C125" t="s">
        <v>270</v>
      </c>
      <c r="D125" t="s">
        <v>271</v>
      </c>
      <c r="E125" t="s">
        <v>287</v>
      </c>
      <c r="F125">
        <v>1041</v>
      </c>
      <c r="G125" t="s">
        <v>486</v>
      </c>
      <c r="H125" t="s">
        <v>487</v>
      </c>
      <c r="I125" t="s">
        <v>488</v>
      </c>
      <c r="J125" t="s">
        <v>489</v>
      </c>
      <c r="K125">
        <v>129</v>
      </c>
      <c r="L125" t="s">
        <v>276</v>
      </c>
      <c r="M125">
        <f>Table1[[#This Row],[Sales Volume]]*Table1[[#This Row],[price(USD)]]</f>
        <v>134289</v>
      </c>
      <c r="N125" t="s">
        <v>277</v>
      </c>
      <c r="O125" t="s">
        <v>278</v>
      </c>
      <c r="P125" t="str">
        <f>HYPERLINK(Table1[[#This Row],[url]],Table1[[#This Row],[name]])</f>
        <v>HOODED QUILTED JACKET</v>
      </c>
      <c r="Q125" t="str">
        <f>IF(Table1[[#This Row],[price(USD)]]&gt;295.33,"Premimum",IF(Table1[[#This Row],[price(USD)]]&gt;151.66,"Mid Range","Budget"))</f>
        <v>Budget</v>
      </c>
      <c r="R125" t="str">
        <f>IF(Table1[[#This Row],[Sales Volume]]&gt;2169,"Best Seller",IF(Table1[[#This Row],[Sales Volume]]&gt;1349,"Average","Slow seller"))</f>
        <v>Slow seller</v>
      </c>
    </row>
    <row r="126" spans="1:18">
      <c r="A126">
        <v>176666</v>
      </c>
      <c r="B126" t="s">
        <v>269</v>
      </c>
      <c r="C126" t="s">
        <v>287</v>
      </c>
      <c r="D126" t="s">
        <v>271</v>
      </c>
      <c r="E126" t="s">
        <v>270</v>
      </c>
      <c r="F126">
        <v>2852</v>
      </c>
      <c r="G126" t="s">
        <v>815</v>
      </c>
      <c r="H126" t="s">
        <v>816</v>
      </c>
      <c r="I126" t="s">
        <v>817</v>
      </c>
      <c r="J126" t="s">
        <v>818</v>
      </c>
      <c r="K126">
        <v>45.9</v>
      </c>
      <c r="L126" t="s">
        <v>276</v>
      </c>
      <c r="M126">
        <f>Table1[[#This Row],[Sales Volume]]*Table1[[#This Row],[price(USD)]]</f>
        <v>130906.8</v>
      </c>
      <c r="N126" t="s">
        <v>774</v>
      </c>
      <c r="O126" t="s">
        <v>278</v>
      </c>
      <c r="P126" t="str">
        <f>HYPERLINK(Table1[[#This Row],[url]],Table1[[#This Row],[name]])</f>
        <v>MULTI-PIECED RETRO SNEAKERS</v>
      </c>
      <c r="Q126" t="str">
        <f>IF(Table1[[#This Row],[price(USD)]]&gt;295.33,"Premimum",IF(Table1[[#This Row],[price(USD)]]&gt;151.66,"Mid Range","Budget"))</f>
        <v>Budget</v>
      </c>
      <c r="R126" t="str">
        <f>IF(Table1[[#This Row],[Sales Volume]]&gt;2169,"Best Seller",IF(Table1[[#This Row],[Sales Volume]]&gt;1349,"Average","Slow seller"))</f>
        <v>Best Seller</v>
      </c>
    </row>
    <row r="127" spans="1:18">
      <c r="A127">
        <v>115581</v>
      </c>
      <c r="B127" t="s">
        <v>269</v>
      </c>
      <c r="C127" t="s">
        <v>270</v>
      </c>
      <c r="D127" t="s">
        <v>271</v>
      </c>
      <c r="E127" t="s">
        <v>287</v>
      </c>
      <c r="F127">
        <v>2728</v>
      </c>
      <c r="G127" t="s">
        <v>991</v>
      </c>
      <c r="H127" t="s">
        <v>992</v>
      </c>
      <c r="I127" t="s">
        <v>993</v>
      </c>
      <c r="J127" t="s">
        <v>994</v>
      </c>
      <c r="K127">
        <v>47.9</v>
      </c>
      <c r="L127" t="s">
        <v>276</v>
      </c>
      <c r="M127">
        <f>Table1[[#This Row],[Sales Volume]]*Table1[[#This Row],[price(USD)]]</f>
        <v>130671.2</v>
      </c>
      <c r="N127" t="s">
        <v>893</v>
      </c>
      <c r="O127" t="s">
        <v>894</v>
      </c>
      <c r="P127" t="str">
        <f>HYPERLINK(Table1[[#This Row],[url]],Table1[[#This Row],[name]])</f>
        <v>STRIPED CROP KNIT SWEATER</v>
      </c>
      <c r="Q127" t="str">
        <f>IF(Table1[[#This Row],[price(USD)]]&gt;295.33,"Premimum",IF(Table1[[#This Row],[price(USD)]]&gt;151.66,"Mid Range","Budget"))</f>
        <v>Budget</v>
      </c>
      <c r="R127" t="str">
        <f>IF(Table1[[#This Row],[Sales Volume]]&gt;2169,"Best Seller",IF(Table1[[#This Row],[Sales Volume]]&gt;1349,"Average","Slow seller"))</f>
        <v>Best Seller</v>
      </c>
    </row>
    <row r="128" spans="1:18">
      <c r="A128">
        <v>152871</v>
      </c>
      <c r="B128" t="s">
        <v>286</v>
      </c>
      <c r="C128" t="s">
        <v>270</v>
      </c>
      <c r="D128" t="s">
        <v>271</v>
      </c>
      <c r="E128" t="s">
        <v>287</v>
      </c>
      <c r="F128">
        <v>1847</v>
      </c>
      <c r="G128" t="s">
        <v>718</v>
      </c>
      <c r="H128" t="s">
        <v>719</v>
      </c>
      <c r="I128" t="s">
        <v>720</v>
      </c>
      <c r="J128" t="s">
        <v>721</v>
      </c>
      <c r="K128">
        <v>69.900000000000006</v>
      </c>
      <c r="L128" t="s">
        <v>276</v>
      </c>
      <c r="M128">
        <f>Table1[[#This Row],[Sales Volume]]*Table1[[#This Row],[price(USD)]]</f>
        <v>129105.30000000002</v>
      </c>
      <c r="N128" t="s">
        <v>277</v>
      </c>
      <c r="O128" t="s">
        <v>278</v>
      </c>
      <c r="P128" t="str">
        <f>HYPERLINK(Table1[[#This Row],[url]],Table1[[#This Row],[name]])</f>
        <v>TEXTURED POCKET OVERSHIRT</v>
      </c>
      <c r="Q128" t="str">
        <f>IF(Table1[[#This Row],[price(USD)]]&gt;295.33,"Premimum",IF(Table1[[#This Row],[price(USD)]]&gt;151.66,"Mid Range","Budget"))</f>
        <v>Budget</v>
      </c>
      <c r="R128" t="str">
        <f>IF(Table1[[#This Row],[Sales Volume]]&gt;2169,"Best Seller",IF(Table1[[#This Row],[Sales Volume]]&gt;1349,"Average","Slow seller"))</f>
        <v>Average</v>
      </c>
    </row>
    <row r="129" spans="1:18">
      <c r="A129">
        <v>149487</v>
      </c>
      <c r="B129" t="s">
        <v>269</v>
      </c>
      <c r="C129" t="s">
        <v>270</v>
      </c>
      <c r="D129" t="s">
        <v>271</v>
      </c>
      <c r="E129" t="s">
        <v>287</v>
      </c>
      <c r="F129">
        <v>1258</v>
      </c>
      <c r="G129" t="s">
        <v>979</v>
      </c>
      <c r="H129" t="s">
        <v>736</v>
      </c>
      <c r="I129" t="s">
        <v>373</v>
      </c>
      <c r="J129" t="s">
        <v>592</v>
      </c>
      <c r="K129">
        <v>99.9</v>
      </c>
      <c r="L129" t="s">
        <v>276</v>
      </c>
      <c r="M129">
        <f>Table1[[#This Row],[Sales Volume]]*Table1[[#This Row],[price(USD)]]</f>
        <v>125674.20000000001</v>
      </c>
      <c r="N129" t="s">
        <v>1093</v>
      </c>
      <c r="O129" t="s">
        <v>278</v>
      </c>
      <c r="P129" t="str">
        <f>HYPERLINK(Table1[[#This Row],[url]],Table1[[#This Row],[name]])</f>
        <v>LEATHER JACKET</v>
      </c>
      <c r="Q129" t="str">
        <f>IF(Table1[[#This Row],[price(USD)]]&gt;295.33,"Premimum",IF(Table1[[#This Row],[price(USD)]]&gt;151.66,"Mid Range","Budget"))</f>
        <v>Budget</v>
      </c>
      <c r="R129" t="str">
        <f>IF(Table1[[#This Row],[Sales Volume]]&gt;2169,"Best Seller",IF(Table1[[#This Row],[Sales Volume]]&gt;1349,"Average","Slow seller"))</f>
        <v>Slow seller</v>
      </c>
    </row>
    <row r="130" spans="1:18">
      <c r="A130">
        <v>174412</v>
      </c>
      <c r="B130" t="s">
        <v>269</v>
      </c>
      <c r="C130" t="s">
        <v>270</v>
      </c>
      <c r="D130" t="s">
        <v>271</v>
      </c>
      <c r="E130" t="s">
        <v>287</v>
      </c>
      <c r="F130">
        <v>1796</v>
      </c>
      <c r="G130" t="s">
        <v>428</v>
      </c>
      <c r="H130" t="s">
        <v>429</v>
      </c>
      <c r="I130" t="s">
        <v>350</v>
      </c>
      <c r="J130" t="s">
        <v>430</v>
      </c>
      <c r="K130">
        <v>69.900000000000006</v>
      </c>
      <c r="L130" t="s">
        <v>276</v>
      </c>
      <c r="M130">
        <f>Table1[[#This Row],[Sales Volume]]*Table1[[#This Row],[price(USD)]]</f>
        <v>125540.40000000001</v>
      </c>
      <c r="N130" t="s">
        <v>277</v>
      </c>
      <c r="O130" t="s">
        <v>278</v>
      </c>
      <c r="P130" t="str">
        <f>HYPERLINK(Table1[[#This Row],[url]],Table1[[#This Row],[name]])</f>
        <v>FAUX SUEDE BOMBER JACKET</v>
      </c>
      <c r="Q130" t="str">
        <f>IF(Table1[[#This Row],[price(USD)]]&gt;295.33,"Premimum",IF(Table1[[#This Row],[price(USD)]]&gt;151.66,"Mid Range","Budget"))</f>
        <v>Budget</v>
      </c>
      <c r="R130" t="str">
        <f>IF(Table1[[#This Row],[Sales Volume]]&gt;2169,"Best Seller",IF(Table1[[#This Row],[Sales Volume]]&gt;1349,"Average","Slow seller"))</f>
        <v>Average</v>
      </c>
    </row>
    <row r="131" spans="1:18">
      <c r="A131">
        <v>178281</v>
      </c>
      <c r="B131" t="s">
        <v>286</v>
      </c>
      <c r="C131" t="s">
        <v>270</v>
      </c>
      <c r="D131" t="s">
        <v>271</v>
      </c>
      <c r="E131" t="s">
        <v>287</v>
      </c>
      <c r="F131">
        <v>1145</v>
      </c>
      <c r="G131" t="s">
        <v>420</v>
      </c>
      <c r="H131" t="s">
        <v>421</v>
      </c>
      <c r="I131" t="s">
        <v>422</v>
      </c>
      <c r="J131" t="s">
        <v>423</v>
      </c>
      <c r="K131">
        <v>109</v>
      </c>
      <c r="L131" t="s">
        <v>276</v>
      </c>
      <c r="M131">
        <f>Table1[[#This Row],[Sales Volume]]*Table1[[#This Row],[price(USD)]]</f>
        <v>124805</v>
      </c>
      <c r="N131" t="s">
        <v>277</v>
      </c>
      <c r="O131" t="s">
        <v>278</v>
      </c>
      <c r="P131" t="str">
        <f>HYPERLINK(Table1[[#This Row],[url]],Table1[[#This Row],[name]])</f>
        <v>BOMBER JACKET</v>
      </c>
      <c r="Q131" t="str">
        <f>IF(Table1[[#This Row],[price(USD)]]&gt;295.33,"Premimum",IF(Table1[[#This Row],[price(USD)]]&gt;151.66,"Mid Range","Budget"))</f>
        <v>Budget</v>
      </c>
      <c r="R131" t="str">
        <f>IF(Table1[[#This Row],[Sales Volume]]&gt;2169,"Best Seller",IF(Table1[[#This Row],[Sales Volume]]&gt;1349,"Average","Slow seller"))</f>
        <v>Slow seller</v>
      </c>
    </row>
    <row r="132" spans="1:18">
      <c r="A132">
        <v>193227</v>
      </c>
      <c r="B132" t="s">
        <v>286</v>
      </c>
      <c r="C132" t="s">
        <v>287</v>
      </c>
      <c r="D132" t="s">
        <v>271</v>
      </c>
      <c r="E132" t="s">
        <v>287</v>
      </c>
      <c r="F132">
        <v>1778</v>
      </c>
      <c r="G132" t="s">
        <v>1077</v>
      </c>
      <c r="H132" t="s">
        <v>1078</v>
      </c>
      <c r="I132" t="s">
        <v>1079</v>
      </c>
      <c r="J132" t="s">
        <v>1080</v>
      </c>
      <c r="K132">
        <v>69.900000000000006</v>
      </c>
      <c r="L132" t="s">
        <v>276</v>
      </c>
      <c r="M132">
        <f>Table1[[#This Row],[Sales Volume]]*Table1[[#This Row],[price(USD)]]</f>
        <v>124282.20000000001</v>
      </c>
      <c r="N132" t="s">
        <v>893</v>
      </c>
      <c r="O132" t="s">
        <v>278</v>
      </c>
      <c r="P132" t="str">
        <f>HYPERLINK(Table1[[#This Row],[url]],Table1[[#This Row],[name]])</f>
        <v>BRAIDED COLOR BLOCK SWEATER</v>
      </c>
      <c r="Q132" t="str">
        <f>IF(Table1[[#This Row],[price(USD)]]&gt;295.33,"Premimum",IF(Table1[[#This Row],[price(USD)]]&gt;151.66,"Mid Range","Budget"))</f>
        <v>Budget</v>
      </c>
      <c r="R132" t="str">
        <f>IF(Table1[[#This Row],[Sales Volume]]&gt;2169,"Best Seller",IF(Table1[[#This Row],[Sales Volume]]&gt;1349,"Average","Slow seller"))</f>
        <v>Average</v>
      </c>
    </row>
    <row r="133" spans="1:18">
      <c r="A133">
        <v>177771</v>
      </c>
      <c r="B133" t="s">
        <v>286</v>
      </c>
      <c r="C133" t="s">
        <v>287</v>
      </c>
      <c r="D133" t="s">
        <v>271</v>
      </c>
      <c r="E133" t="s">
        <v>287</v>
      </c>
      <c r="F133">
        <v>1764</v>
      </c>
      <c r="G133" t="s">
        <v>987</v>
      </c>
      <c r="H133" t="s">
        <v>744</v>
      </c>
      <c r="I133" t="s">
        <v>381</v>
      </c>
      <c r="J133" t="s">
        <v>600</v>
      </c>
      <c r="K133">
        <v>69.900000000000006</v>
      </c>
      <c r="L133" t="s">
        <v>276</v>
      </c>
      <c r="M133">
        <f>Table1[[#This Row],[Sales Volume]]*Table1[[#This Row],[price(USD)]]</f>
        <v>123303.6</v>
      </c>
      <c r="N133" t="s">
        <v>1093</v>
      </c>
      <c r="O133" t="s">
        <v>278</v>
      </c>
      <c r="P133" t="str">
        <f>HYPERLINK(Table1[[#This Row],[url]],Table1[[#This Row],[name]])</f>
        <v>SUIT JACKET</v>
      </c>
      <c r="Q133" t="str">
        <f>IF(Table1[[#This Row],[price(USD)]]&gt;295.33,"Premimum",IF(Table1[[#This Row],[price(USD)]]&gt;151.66,"Mid Range","Budget"))</f>
        <v>Budget</v>
      </c>
      <c r="R133" t="str">
        <f>IF(Table1[[#This Row],[Sales Volume]]&gt;2169,"Best Seller",IF(Table1[[#This Row],[Sales Volume]]&gt;1349,"Average","Slow seller"))</f>
        <v>Average</v>
      </c>
    </row>
    <row r="134" spans="1:18">
      <c r="A134">
        <v>171061</v>
      </c>
      <c r="B134" t="s">
        <v>269</v>
      </c>
      <c r="C134" t="s">
        <v>270</v>
      </c>
      <c r="D134" t="s">
        <v>271</v>
      </c>
      <c r="E134" t="s">
        <v>287</v>
      </c>
      <c r="F134">
        <v>2032</v>
      </c>
      <c r="G134" t="s">
        <v>704</v>
      </c>
      <c r="H134" t="s">
        <v>705</v>
      </c>
      <c r="I134" t="s">
        <v>695</v>
      </c>
      <c r="J134" t="s">
        <v>706</v>
      </c>
      <c r="K134">
        <v>59.9</v>
      </c>
      <c r="L134" t="s">
        <v>276</v>
      </c>
      <c r="M134">
        <f>Table1[[#This Row],[Sales Volume]]*Table1[[#This Row],[price(USD)]]</f>
        <v>121716.8</v>
      </c>
      <c r="N134" t="s">
        <v>277</v>
      </c>
      <c r="O134" t="s">
        <v>278</v>
      </c>
      <c r="P134" t="str">
        <f>HYPERLINK(Table1[[#This Row],[url]],Table1[[#This Row],[name]])</f>
        <v>PLAID OVERSHIRT</v>
      </c>
      <c r="Q134" t="str">
        <f>IF(Table1[[#This Row],[price(USD)]]&gt;295.33,"Premimum",IF(Table1[[#This Row],[price(USD)]]&gt;151.66,"Mid Range","Budget"))</f>
        <v>Budget</v>
      </c>
      <c r="R134" t="str">
        <f>IF(Table1[[#This Row],[Sales Volume]]&gt;2169,"Best Seller",IF(Table1[[#This Row],[Sales Volume]]&gt;1349,"Average","Slow seller"))</f>
        <v>Average</v>
      </c>
    </row>
    <row r="135" spans="1:18">
      <c r="A135">
        <v>177131</v>
      </c>
      <c r="B135" t="s">
        <v>269</v>
      </c>
      <c r="C135" t="s">
        <v>287</v>
      </c>
      <c r="D135" t="s">
        <v>271</v>
      </c>
      <c r="E135" t="s">
        <v>287</v>
      </c>
      <c r="F135">
        <v>1733</v>
      </c>
      <c r="G135" t="s">
        <v>605</v>
      </c>
      <c r="H135" t="s">
        <v>606</v>
      </c>
      <c r="I135" t="s">
        <v>607</v>
      </c>
      <c r="J135" t="s">
        <v>608</v>
      </c>
      <c r="K135">
        <v>69.900000000000006</v>
      </c>
      <c r="L135" t="s">
        <v>276</v>
      </c>
      <c r="M135">
        <f>Table1[[#This Row],[Sales Volume]]*Table1[[#This Row],[price(USD)]]</f>
        <v>121136.70000000001</v>
      </c>
      <c r="N135" t="s">
        <v>277</v>
      </c>
      <c r="O135" t="s">
        <v>278</v>
      </c>
      <c r="P135" t="str">
        <f>HYPERLINK(Table1[[#This Row],[url]],Table1[[#This Row],[name]])</f>
        <v>BOUCLE TEXTURED VEST</v>
      </c>
      <c r="Q135" t="str">
        <f>IF(Table1[[#This Row],[price(USD)]]&gt;295.33,"Premimum",IF(Table1[[#This Row],[price(USD)]]&gt;151.66,"Mid Range","Budget"))</f>
        <v>Budget</v>
      </c>
      <c r="R135" t="str">
        <f>IF(Table1[[#This Row],[Sales Volume]]&gt;2169,"Best Seller",IF(Table1[[#This Row],[Sales Volume]]&gt;1349,"Average","Slow seller"))</f>
        <v>Average</v>
      </c>
    </row>
    <row r="136" spans="1:18">
      <c r="A136">
        <v>129152</v>
      </c>
      <c r="B136" t="s">
        <v>286</v>
      </c>
      <c r="C136" t="s">
        <v>270</v>
      </c>
      <c r="D136" t="s">
        <v>271</v>
      </c>
      <c r="E136" t="s">
        <v>270</v>
      </c>
      <c r="F136">
        <v>2356</v>
      </c>
      <c r="G136" t="s">
        <v>375</v>
      </c>
      <c r="H136" t="s">
        <v>376</v>
      </c>
      <c r="I136" t="s">
        <v>377</v>
      </c>
      <c r="J136" t="s">
        <v>378</v>
      </c>
      <c r="K136">
        <v>49.9</v>
      </c>
      <c r="L136" t="s">
        <v>276</v>
      </c>
      <c r="M136">
        <f>Table1[[#This Row],[Sales Volume]]*Table1[[#This Row],[price(USD)]]</f>
        <v>117564.4</v>
      </c>
      <c r="N136" t="s">
        <v>277</v>
      </c>
      <c r="O136" t="s">
        <v>278</v>
      </c>
      <c r="P136" t="str">
        <f>HYPERLINK(Table1[[#This Row],[url]],Table1[[#This Row],[name]])</f>
        <v>LIGHTWEIGHT BOMBER JACKET</v>
      </c>
      <c r="Q136" t="str">
        <f>IF(Table1[[#This Row],[price(USD)]]&gt;295.33,"Premimum",IF(Table1[[#This Row],[price(USD)]]&gt;151.66,"Mid Range","Budget"))</f>
        <v>Budget</v>
      </c>
      <c r="R136" t="str">
        <f>IF(Table1[[#This Row],[Sales Volume]]&gt;2169,"Best Seller",IF(Table1[[#This Row],[Sales Volume]]&gt;1349,"Average","Slow seller"))</f>
        <v>Best Seller</v>
      </c>
    </row>
    <row r="137" spans="1:18">
      <c r="A137">
        <v>198248</v>
      </c>
      <c r="B137" t="s">
        <v>307</v>
      </c>
      <c r="C137" t="s">
        <v>287</v>
      </c>
      <c r="D137" t="s">
        <v>271</v>
      </c>
      <c r="E137" t="s">
        <v>270</v>
      </c>
      <c r="F137">
        <v>1644</v>
      </c>
      <c r="G137" t="s">
        <v>383</v>
      </c>
      <c r="H137" t="s">
        <v>384</v>
      </c>
      <c r="I137" t="s">
        <v>385</v>
      </c>
      <c r="J137" t="s">
        <v>386</v>
      </c>
      <c r="K137">
        <v>69.900000000000006</v>
      </c>
      <c r="L137" t="s">
        <v>276</v>
      </c>
      <c r="M137">
        <f>Table1[[#This Row],[Sales Volume]]*Table1[[#This Row],[price(USD)]]</f>
        <v>114915.6</v>
      </c>
      <c r="N137" t="s">
        <v>277</v>
      </c>
      <c r="O137" t="s">
        <v>278</v>
      </c>
      <c r="P137" t="str">
        <f>HYPERLINK(Table1[[#This Row],[url]],Table1[[#This Row],[name]])</f>
        <v>FAUX LEATHER BOMBER JACKET</v>
      </c>
      <c r="Q137" t="str">
        <f>IF(Table1[[#This Row],[price(USD)]]&gt;295.33,"Premimum",IF(Table1[[#This Row],[price(USD)]]&gt;151.66,"Mid Range","Budget"))</f>
        <v>Budget</v>
      </c>
      <c r="R137" t="str">
        <f>IF(Table1[[#This Row],[Sales Volume]]&gt;2169,"Best Seller",IF(Table1[[#This Row],[Sales Volume]]&gt;1349,"Average","Slow seller"))</f>
        <v>Average</v>
      </c>
    </row>
    <row r="138" spans="1:18">
      <c r="A138">
        <v>141434</v>
      </c>
      <c r="B138" t="s">
        <v>307</v>
      </c>
      <c r="C138" t="s">
        <v>270</v>
      </c>
      <c r="D138" t="s">
        <v>271</v>
      </c>
      <c r="E138" t="s">
        <v>287</v>
      </c>
      <c r="F138">
        <v>2870</v>
      </c>
      <c r="G138" t="s">
        <v>633</v>
      </c>
      <c r="H138" t="s">
        <v>780</v>
      </c>
      <c r="I138" t="s">
        <v>310</v>
      </c>
      <c r="J138" t="s">
        <v>413</v>
      </c>
      <c r="K138">
        <v>39.9</v>
      </c>
      <c r="L138" t="s">
        <v>276</v>
      </c>
      <c r="M138">
        <f>Table1[[#This Row],[Sales Volume]]*Table1[[#This Row],[price(USD)]]</f>
        <v>114513</v>
      </c>
      <c r="N138" t="s">
        <v>277</v>
      </c>
      <c r="O138" t="s">
        <v>278</v>
      </c>
      <c r="P138" t="str">
        <f>HYPERLINK(Table1[[#This Row],[url]],Table1[[#This Row],[name]])</f>
        <v>FAUX LEATHER PUFFER JACKET</v>
      </c>
      <c r="Q138" t="str">
        <f>IF(Table1[[#This Row],[price(USD)]]&gt;295.33,"Premimum",IF(Table1[[#This Row],[price(USD)]]&gt;151.66,"Mid Range","Budget"))</f>
        <v>Budget</v>
      </c>
      <c r="R138" t="str">
        <f>IF(Table1[[#This Row],[Sales Volume]]&gt;2169,"Best Seller",IF(Table1[[#This Row],[Sales Volume]]&gt;1349,"Average","Slow seller"))</f>
        <v>Best Seller</v>
      </c>
    </row>
    <row r="139" spans="1:18">
      <c r="A139">
        <v>188909</v>
      </c>
      <c r="B139" t="s">
        <v>269</v>
      </c>
      <c r="C139" t="s">
        <v>287</v>
      </c>
      <c r="D139" t="s">
        <v>271</v>
      </c>
      <c r="E139" t="s">
        <v>287</v>
      </c>
      <c r="F139">
        <v>2863</v>
      </c>
      <c r="G139" t="s">
        <v>889</v>
      </c>
      <c r="H139" t="s">
        <v>890</v>
      </c>
      <c r="I139" t="s">
        <v>891</v>
      </c>
      <c r="J139" t="s">
        <v>892</v>
      </c>
      <c r="K139">
        <v>39.9</v>
      </c>
      <c r="L139" t="s">
        <v>276</v>
      </c>
      <c r="M139">
        <f>Table1[[#This Row],[Sales Volume]]*Table1[[#This Row],[price(USD)]]</f>
        <v>114233.7</v>
      </c>
      <c r="N139" t="s">
        <v>893</v>
      </c>
      <c r="O139" t="s">
        <v>894</v>
      </c>
      <c r="P139" t="str">
        <f>HYPERLINK(Table1[[#This Row],[url]],Table1[[#This Row],[name]])</f>
        <v>ASYMMETRIC CROPPED KNIT SWEATER</v>
      </c>
      <c r="Q139" t="str">
        <f>IF(Table1[[#This Row],[price(USD)]]&gt;295.33,"Premimum",IF(Table1[[#This Row],[price(USD)]]&gt;151.66,"Mid Range","Budget"))</f>
        <v>Budget</v>
      </c>
      <c r="R139" t="str">
        <f>IF(Table1[[#This Row],[Sales Volume]]&gt;2169,"Best Seller",IF(Table1[[#This Row],[Sales Volume]]&gt;1349,"Average","Slow seller"))</f>
        <v>Best Seller</v>
      </c>
    </row>
    <row r="140" spans="1:18">
      <c r="A140">
        <v>199631</v>
      </c>
      <c r="B140" t="s">
        <v>307</v>
      </c>
      <c r="C140" t="s">
        <v>287</v>
      </c>
      <c r="D140" t="s">
        <v>271</v>
      </c>
      <c r="E140" t="s">
        <v>270</v>
      </c>
      <c r="F140">
        <v>1269</v>
      </c>
      <c r="G140" t="s">
        <v>681</v>
      </c>
      <c r="H140" t="s">
        <v>682</v>
      </c>
      <c r="I140" t="s">
        <v>683</v>
      </c>
      <c r="J140" t="s">
        <v>684</v>
      </c>
      <c r="K140">
        <v>89.9</v>
      </c>
      <c r="L140" t="s">
        <v>276</v>
      </c>
      <c r="M140">
        <f>Table1[[#This Row],[Sales Volume]]*Table1[[#This Row],[price(USD)]]</f>
        <v>114083.1</v>
      </c>
      <c r="N140" t="s">
        <v>277</v>
      </c>
      <c r="O140" t="s">
        <v>278</v>
      </c>
      <c r="P140" t="str">
        <f>HYPERLINK(Table1[[#This Row],[url]],Table1[[#This Row],[name]])</f>
        <v>STRUCTURED TWILL OVERSHIRT</v>
      </c>
      <c r="Q140" t="str">
        <f>IF(Table1[[#This Row],[price(USD)]]&gt;295.33,"Premimum",IF(Table1[[#This Row],[price(USD)]]&gt;151.66,"Mid Range","Budget"))</f>
        <v>Budget</v>
      </c>
      <c r="R140" t="str">
        <f>IF(Table1[[#This Row],[Sales Volume]]&gt;2169,"Best Seller",IF(Table1[[#This Row],[Sales Volume]]&gt;1349,"Average","Slow seller"))</f>
        <v>Slow seller</v>
      </c>
    </row>
    <row r="141" spans="1:18">
      <c r="A141">
        <v>135521</v>
      </c>
      <c r="B141" t="s">
        <v>286</v>
      </c>
      <c r="C141" t="s">
        <v>270</v>
      </c>
      <c r="D141" t="s">
        <v>271</v>
      </c>
      <c r="E141" t="s">
        <v>287</v>
      </c>
      <c r="F141">
        <v>2835</v>
      </c>
      <c r="G141" t="s">
        <v>967</v>
      </c>
      <c r="H141" t="s">
        <v>968</v>
      </c>
      <c r="I141" t="s">
        <v>969</v>
      </c>
      <c r="J141" t="s">
        <v>970</v>
      </c>
      <c r="K141">
        <v>39.9</v>
      </c>
      <c r="L141" t="s">
        <v>276</v>
      </c>
      <c r="M141">
        <f>Table1[[#This Row],[Sales Volume]]*Table1[[#This Row],[price(USD)]]</f>
        <v>113116.5</v>
      </c>
      <c r="N141" t="s">
        <v>893</v>
      </c>
      <c r="O141" t="s">
        <v>894</v>
      </c>
      <c r="P141" t="str">
        <f>HYPERLINK(Table1[[#This Row],[url]],Table1[[#This Row],[name]])</f>
        <v>FINE KNIT CROP SWEATER</v>
      </c>
      <c r="Q141" t="str">
        <f>IF(Table1[[#This Row],[price(USD)]]&gt;295.33,"Premimum",IF(Table1[[#This Row],[price(USD)]]&gt;151.66,"Mid Range","Budget"))</f>
        <v>Budget</v>
      </c>
      <c r="R141" t="str">
        <f>IF(Table1[[#This Row],[Sales Volume]]&gt;2169,"Best Seller",IF(Table1[[#This Row],[Sales Volume]]&gt;1349,"Average","Slow seller"))</f>
        <v>Best Seller</v>
      </c>
    </row>
    <row r="142" spans="1:18">
      <c r="A142">
        <v>147947</v>
      </c>
      <c r="B142" t="s">
        <v>269</v>
      </c>
      <c r="C142" t="s">
        <v>287</v>
      </c>
      <c r="D142" t="s">
        <v>271</v>
      </c>
      <c r="E142" t="s">
        <v>287</v>
      </c>
      <c r="F142">
        <v>1249</v>
      </c>
      <c r="G142" t="s">
        <v>593</v>
      </c>
      <c r="H142" t="s">
        <v>594</v>
      </c>
      <c r="I142" t="s">
        <v>595</v>
      </c>
      <c r="J142" t="s">
        <v>596</v>
      </c>
      <c r="K142">
        <v>89.9</v>
      </c>
      <c r="L142" t="s">
        <v>276</v>
      </c>
      <c r="M142">
        <f>Table1[[#This Row],[Sales Volume]]*Table1[[#This Row],[price(USD)]]</f>
        <v>112285.1</v>
      </c>
      <c r="N142" t="s">
        <v>277</v>
      </c>
      <c r="O142" t="s">
        <v>278</v>
      </c>
      <c r="P142" t="str">
        <f>HYPERLINK(Table1[[#This Row],[url]],Table1[[#This Row],[name]])</f>
        <v>FAUX SHEARLING PLAID JACKET</v>
      </c>
      <c r="Q142" t="str">
        <f>IF(Table1[[#This Row],[price(USD)]]&gt;295.33,"Premimum",IF(Table1[[#This Row],[price(USD)]]&gt;151.66,"Mid Range","Budget"))</f>
        <v>Budget</v>
      </c>
      <c r="R142" t="str">
        <f>IF(Table1[[#This Row],[Sales Volume]]&gt;2169,"Best Seller",IF(Table1[[#This Row],[Sales Volume]]&gt;1349,"Average","Slow seller"))</f>
        <v>Slow seller</v>
      </c>
    </row>
    <row r="143" spans="1:18">
      <c r="A143">
        <v>189349</v>
      </c>
      <c r="B143" t="s">
        <v>286</v>
      </c>
      <c r="C143" t="s">
        <v>287</v>
      </c>
      <c r="D143" t="s">
        <v>271</v>
      </c>
      <c r="E143" t="s">
        <v>270</v>
      </c>
      <c r="F143">
        <v>1245</v>
      </c>
      <c r="G143" t="s">
        <v>478</v>
      </c>
      <c r="H143" t="s">
        <v>479</v>
      </c>
      <c r="I143" t="s">
        <v>480</v>
      </c>
      <c r="J143" t="s">
        <v>481</v>
      </c>
      <c r="K143">
        <v>89.9</v>
      </c>
      <c r="L143" t="s">
        <v>276</v>
      </c>
      <c r="M143">
        <f>Table1[[#This Row],[Sales Volume]]*Table1[[#This Row],[price(USD)]]</f>
        <v>111925.5</v>
      </c>
      <c r="N143" t="s">
        <v>277</v>
      </c>
      <c r="O143" t="s">
        <v>278</v>
      </c>
      <c r="P143" t="str">
        <f>HYPERLINK(Table1[[#This Row],[url]],Table1[[#This Row],[name]])</f>
        <v>TEXTURED WEAVE OVERSHIRT</v>
      </c>
      <c r="Q143" t="str">
        <f>IF(Table1[[#This Row],[price(USD)]]&gt;295.33,"Premimum",IF(Table1[[#This Row],[price(USD)]]&gt;151.66,"Mid Range","Budget"))</f>
        <v>Budget</v>
      </c>
      <c r="R143" t="str">
        <f>IF(Table1[[#This Row],[Sales Volume]]&gt;2169,"Best Seller",IF(Table1[[#This Row],[Sales Volume]]&gt;1349,"Average","Slow seller"))</f>
        <v>Slow seller</v>
      </c>
    </row>
    <row r="144" spans="1:18">
      <c r="A144">
        <v>197524</v>
      </c>
      <c r="B144" t="s">
        <v>269</v>
      </c>
      <c r="C144" t="s">
        <v>287</v>
      </c>
      <c r="D144" t="s">
        <v>271</v>
      </c>
      <c r="E144" t="s">
        <v>287</v>
      </c>
      <c r="F144">
        <v>2231</v>
      </c>
      <c r="G144" t="s">
        <v>767</v>
      </c>
      <c r="H144" t="s">
        <v>768</v>
      </c>
      <c r="I144" t="s">
        <v>695</v>
      </c>
      <c r="J144" t="s">
        <v>769</v>
      </c>
      <c r="K144">
        <v>49.9</v>
      </c>
      <c r="L144" t="s">
        <v>276</v>
      </c>
      <c r="M144">
        <f>Table1[[#This Row],[Sales Volume]]*Table1[[#This Row],[price(USD)]]</f>
        <v>111326.9</v>
      </c>
      <c r="N144" t="s">
        <v>277</v>
      </c>
      <c r="O144" t="s">
        <v>278</v>
      </c>
      <c r="P144" t="str">
        <f>HYPERLINK(Table1[[#This Row],[url]],Table1[[#This Row],[name]])</f>
        <v>PLAID OVERSHIRT</v>
      </c>
      <c r="Q144" t="str">
        <f>IF(Table1[[#This Row],[price(USD)]]&gt;295.33,"Premimum",IF(Table1[[#This Row],[price(USD)]]&gt;151.66,"Mid Range","Budget"))</f>
        <v>Budget</v>
      </c>
      <c r="R144" t="str">
        <f>IF(Table1[[#This Row],[Sales Volume]]&gt;2169,"Best Seller",IF(Table1[[#This Row],[Sales Volume]]&gt;1349,"Average","Slow seller"))</f>
        <v>Best Seller</v>
      </c>
    </row>
    <row r="145" spans="1:18">
      <c r="A145">
        <v>137121</v>
      </c>
      <c r="B145" t="s">
        <v>269</v>
      </c>
      <c r="C145" t="s">
        <v>270</v>
      </c>
      <c r="D145" t="s">
        <v>271</v>
      </c>
      <c r="E145" t="s">
        <v>287</v>
      </c>
      <c r="F145">
        <v>656</v>
      </c>
      <c r="G145" t="s">
        <v>320</v>
      </c>
      <c r="H145" t="s">
        <v>321</v>
      </c>
      <c r="I145" t="s">
        <v>322</v>
      </c>
      <c r="J145" t="s">
        <v>323</v>
      </c>
      <c r="K145">
        <v>169</v>
      </c>
      <c r="L145" t="s">
        <v>276</v>
      </c>
      <c r="M145">
        <f>Table1[[#This Row],[Sales Volume]]*Table1[[#This Row],[price(USD)]]</f>
        <v>110864</v>
      </c>
      <c r="N145" t="s">
        <v>277</v>
      </c>
      <c r="O145" t="s">
        <v>278</v>
      </c>
      <c r="P145" t="str">
        <f>HYPERLINK(Table1[[#This Row],[url]],Table1[[#This Row],[name]])</f>
        <v>100% FEATHER FILL PUFFER JACKET</v>
      </c>
      <c r="Q145" t="str">
        <f>IF(Table1[[#This Row],[price(USD)]]&gt;295.33,"Premimum",IF(Table1[[#This Row],[price(USD)]]&gt;151.66,"Mid Range","Budget"))</f>
        <v>Mid Range</v>
      </c>
      <c r="R145" t="str">
        <f>IF(Table1[[#This Row],[Sales Volume]]&gt;2169,"Best Seller",IF(Table1[[#This Row],[Sales Volume]]&gt;1349,"Average","Slow seller"))</f>
        <v>Slow seller</v>
      </c>
    </row>
    <row r="146" spans="1:18">
      <c r="A146">
        <v>167640</v>
      </c>
      <c r="B146" t="s">
        <v>286</v>
      </c>
      <c r="C146" t="s">
        <v>287</v>
      </c>
      <c r="D146" t="s">
        <v>271</v>
      </c>
      <c r="E146" t="s">
        <v>287</v>
      </c>
      <c r="F146">
        <v>1017</v>
      </c>
      <c r="G146" t="s">
        <v>639</v>
      </c>
      <c r="H146" t="s">
        <v>640</v>
      </c>
      <c r="I146" t="s">
        <v>627</v>
      </c>
      <c r="J146" t="s">
        <v>641</v>
      </c>
      <c r="K146">
        <v>109</v>
      </c>
      <c r="L146" t="s">
        <v>276</v>
      </c>
      <c r="M146">
        <f>Table1[[#This Row],[Sales Volume]]*Table1[[#This Row],[price(USD)]]</f>
        <v>110853</v>
      </c>
      <c r="N146" t="s">
        <v>277</v>
      </c>
      <c r="O146" t="s">
        <v>278</v>
      </c>
      <c r="P146" t="str">
        <f>HYPERLINK(Table1[[#This Row],[url]],Table1[[#This Row],[name]])</f>
        <v>HOODED TECHNICAL JACKET</v>
      </c>
      <c r="Q146" t="str">
        <f>IF(Table1[[#This Row],[price(USD)]]&gt;295.33,"Premimum",IF(Table1[[#This Row],[price(USD)]]&gt;151.66,"Mid Range","Budget"))</f>
        <v>Budget</v>
      </c>
      <c r="R146" t="str">
        <f>IF(Table1[[#This Row],[Sales Volume]]&gt;2169,"Best Seller",IF(Table1[[#This Row],[Sales Volume]]&gt;1349,"Average","Slow seller"))</f>
        <v>Slow seller</v>
      </c>
    </row>
    <row r="147" spans="1:18">
      <c r="A147">
        <v>188771</v>
      </c>
      <c r="B147" t="s">
        <v>269</v>
      </c>
      <c r="C147" t="s">
        <v>270</v>
      </c>
      <c r="D147" t="s">
        <v>271</v>
      </c>
      <c r="E147" t="s">
        <v>270</v>
      </c>
      <c r="F147">
        <v>654</v>
      </c>
      <c r="G147" t="s">
        <v>282</v>
      </c>
      <c r="H147" t="s">
        <v>283</v>
      </c>
      <c r="I147" t="s">
        <v>284</v>
      </c>
      <c r="J147" t="s">
        <v>285</v>
      </c>
      <c r="K147">
        <v>169</v>
      </c>
      <c r="L147" t="s">
        <v>276</v>
      </c>
      <c r="M147">
        <f>Table1[[#This Row],[Sales Volume]]*Table1[[#This Row],[price(USD)]]</f>
        <v>110526</v>
      </c>
      <c r="N147" t="s">
        <v>277</v>
      </c>
      <c r="O147" t="s">
        <v>278</v>
      </c>
      <c r="P147" t="str">
        <f>HYPERLINK(Table1[[#This Row],[url]],Table1[[#This Row],[name]])</f>
        <v>TUXEDO JACKET</v>
      </c>
      <c r="Q147" t="str">
        <f>IF(Table1[[#This Row],[price(USD)]]&gt;295.33,"Premimum",IF(Table1[[#This Row],[price(USD)]]&gt;151.66,"Mid Range","Budget"))</f>
        <v>Mid Range</v>
      </c>
      <c r="R147" t="str">
        <f>IF(Table1[[#This Row],[Sales Volume]]&gt;2169,"Best Seller",IF(Table1[[#This Row],[Sales Volume]]&gt;1349,"Average","Slow seller"))</f>
        <v>Slow seller</v>
      </c>
    </row>
    <row r="148" spans="1:18">
      <c r="A148">
        <v>145289</v>
      </c>
      <c r="B148" t="s">
        <v>286</v>
      </c>
      <c r="C148" t="s">
        <v>270</v>
      </c>
      <c r="D148" t="s">
        <v>271</v>
      </c>
      <c r="E148" t="s">
        <v>270</v>
      </c>
      <c r="F148">
        <v>1012</v>
      </c>
      <c r="G148" t="s">
        <v>557</v>
      </c>
      <c r="H148" t="s">
        <v>558</v>
      </c>
      <c r="I148" t="s">
        <v>559</v>
      </c>
      <c r="J148" t="s">
        <v>560</v>
      </c>
      <c r="K148">
        <v>109</v>
      </c>
      <c r="L148" t="s">
        <v>276</v>
      </c>
      <c r="M148">
        <f>Table1[[#This Row],[Sales Volume]]*Table1[[#This Row],[price(USD)]]</f>
        <v>110308</v>
      </c>
      <c r="N148" t="s">
        <v>277</v>
      </c>
      <c r="O148" t="s">
        <v>278</v>
      </c>
      <c r="P148" t="str">
        <f>HYPERLINK(Table1[[#This Row],[url]],Table1[[#This Row],[name]])</f>
        <v>UTILITY POCKET JACKET</v>
      </c>
      <c r="Q148" t="str">
        <f>IF(Table1[[#This Row],[price(USD)]]&gt;295.33,"Premimum",IF(Table1[[#This Row],[price(USD)]]&gt;151.66,"Mid Range","Budget"))</f>
        <v>Budget</v>
      </c>
      <c r="R148" t="str">
        <f>IF(Table1[[#This Row],[Sales Volume]]&gt;2169,"Best Seller",IF(Table1[[#This Row],[Sales Volume]]&gt;1349,"Average","Slow seller"))</f>
        <v>Slow seller</v>
      </c>
    </row>
    <row r="149" spans="1:18">
      <c r="A149">
        <v>126146</v>
      </c>
      <c r="B149" t="s">
        <v>269</v>
      </c>
      <c r="C149" t="s">
        <v>270</v>
      </c>
      <c r="D149" t="s">
        <v>271</v>
      </c>
      <c r="E149" t="s">
        <v>270</v>
      </c>
      <c r="F149">
        <v>2759</v>
      </c>
      <c r="G149" t="s">
        <v>1094</v>
      </c>
      <c r="H149" t="s">
        <v>1095</v>
      </c>
      <c r="I149" t="s">
        <v>1096</v>
      </c>
      <c r="J149" t="s">
        <v>1097</v>
      </c>
      <c r="K149">
        <v>39.9</v>
      </c>
      <c r="L149" t="s">
        <v>276</v>
      </c>
      <c r="M149">
        <f>Table1[[#This Row],[Sales Volume]]*Table1[[#This Row],[price(USD)]]</f>
        <v>110084.09999999999</v>
      </c>
      <c r="N149" t="s">
        <v>1093</v>
      </c>
      <c r="O149" t="s">
        <v>278</v>
      </c>
      <c r="P149" t="str">
        <f>HYPERLINK(Table1[[#This Row],[url]],Table1[[#This Row],[name]])</f>
        <v>CROPPED WASHED T-SHIRT</v>
      </c>
      <c r="Q149" t="str">
        <f>IF(Table1[[#This Row],[price(USD)]]&gt;295.33,"Premimum",IF(Table1[[#This Row],[price(USD)]]&gt;151.66,"Mid Range","Budget"))</f>
        <v>Budget</v>
      </c>
      <c r="R149" t="str">
        <f>IF(Table1[[#This Row],[Sales Volume]]&gt;2169,"Best Seller",IF(Table1[[#This Row],[Sales Volume]]&gt;1349,"Average","Slow seller"))</f>
        <v>Best Seller</v>
      </c>
    </row>
    <row r="150" spans="1:18">
      <c r="A150">
        <v>162883</v>
      </c>
      <c r="B150" t="s">
        <v>307</v>
      </c>
      <c r="C150" t="s">
        <v>287</v>
      </c>
      <c r="D150" t="s">
        <v>271</v>
      </c>
      <c r="E150" t="s">
        <v>270</v>
      </c>
      <c r="F150">
        <v>786</v>
      </c>
      <c r="G150" t="s">
        <v>568</v>
      </c>
      <c r="H150" t="s">
        <v>569</v>
      </c>
      <c r="I150" t="s">
        <v>570</v>
      </c>
      <c r="J150" t="s">
        <v>571</v>
      </c>
      <c r="K150">
        <v>139</v>
      </c>
      <c r="L150" t="s">
        <v>276</v>
      </c>
      <c r="M150">
        <f>Table1[[#This Row],[Sales Volume]]*Table1[[#This Row],[price(USD)]]</f>
        <v>109254</v>
      </c>
      <c r="N150" t="s">
        <v>277</v>
      </c>
      <c r="O150" t="s">
        <v>278</v>
      </c>
      <c r="P150" t="str">
        <f>HYPERLINK(Table1[[#This Row],[url]],Table1[[#This Row],[name]])</f>
        <v>TECHNICAL PADDED JACKET</v>
      </c>
      <c r="Q150" t="str">
        <f>IF(Table1[[#This Row],[price(USD)]]&gt;295.33,"Premimum",IF(Table1[[#This Row],[price(USD)]]&gt;151.66,"Mid Range","Budget"))</f>
        <v>Budget</v>
      </c>
      <c r="R150" t="str">
        <f>IF(Table1[[#This Row],[Sales Volume]]&gt;2169,"Best Seller",IF(Table1[[#This Row],[Sales Volume]]&gt;1349,"Average","Slow seller"))</f>
        <v>Slow seller</v>
      </c>
    </row>
    <row r="151" spans="1:18">
      <c r="A151">
        <v>198283</v>
      </c>
      <c r="B151" t="s">
        <v>286</v>
      </c>
      <c r="C151" t="s">
        <v>287</v>
      </c>
      <c r="D151" t="s">
        <v>271</v>
      </c>
      <c r="E151" t="s">
        <v>287</v>
      </c>
      <c r="F151">
        <v>1558</v>
      </c>
      <c r="G151" t="s">
        <v>1047</v>
      </c>
      <c r="H151" t="s">
        <v>1048</v>
      </c>
      <c r="I151" t="s">
        <v>1049</v>
      </c>
      <c r="J151" t="s">
        <v>1050</v>
      </c>
      <c r="K151">
        <v>69.900000000000006</v>
      </c>
      <c r="L151" t="s">
        <v>276</v>
      </c>
      <c r="M151">
        <f>Table1[[#This Row],[Sales Volume]]*Table1[[#This Row],[price(USD)]]</f>
        <v>108904.20000000001</v>
      </c>
      <c r="N151" t="s">
        <v>1042</v>
      </c>
      <c r="O151" t="s">
        <v>278</v>
      </c>
      <c r="P151" t="str">
        <f>HYPERLINK(Table1[[#This Row],[url]],Table1[[#This Row],[name]])</f>
        <v>BAGGY FIT JEANS</v>
      </c>
      <c r="Q151" t="str">
        <f>IF(Table1[[#This Row],[price(USD)]]&gt;295.33,"Premimum",IF(Table1[[#This Row],[price(USD)]]&gt;151.66,"Mid Range","Budget"))</f>
        <v>Budget</v>
      </c>
      <c r="R151" t="str">
        <f>IF(Table1[[#This Row],[Sales Volume]]&gt;2169,"Best Seller",IF(Table1[[#This Row],[Sales Volume]]&gt;1349,"Average","Slow seller"))</f>
        <v>Average</v>
      </c>
    </row>
    <row r="152" spans="1:18">
      <c r="A152">
        <v>175059</v>
      </c>
      <c r="B152" t="s">
        <v>269</v>
      </c>
      <c r="C152" t="s">
        <v>287</v>
      </c>
      <c r="D152" t="s">
        <v>271</v>
      </c>
      <c r="E152" t="s">
        <v>270</v>
      </c>
      <c r="F152">
        <v>2170</v>
      </c>
      <c r="G152" t="s">
        <v>563</v>
      </c>
      <c r="H152" t="s">
        <v>564</v>
      </c>
      <c r="I152" t="s">
        <v>377</v>
      </c>
      <c r="J152" t="s">
        <v>378</v>
      </c>
      <c r="K152">
        <v>49.9</v>
      </c>
      <c r="L152" t="s">
        <v>276</v>
      </c>
      <c r="M152">
        <f>Table1[[#This Row],[Sales Volume]]*Table1[[#This Row],[price(USD)]]</f>
        <v>108283</v>
      </c>
      <c r="N152" t="s">
        <v>277</v>
      </c>
      <c r="O152" t="s">
        <v>278</v>
      </c>
      <c r="P152" t="str">
        <f>HYPERLINK(Table1[[#This Row],[url]],Table1[[#This Row],[name]])</f>
        <v>LIGHTWEIGHT BOMBER JACKET</v>
      </c>
      <c r="Q152" t="str">
        <f>IF(Table1[[#This Row],[price(USD)]]&gt;295.33,"Premimum",IF(Table1[[#This Row],[price(USD)]]&gt;151.66,"Mid Range","Budget"))</f>
        <v>Budget</v>
      </c>
      <c r="R152" t="str">
        <f>IF(Table1[[#This Row],[Sales Volume]]&gt;2169,"Best Seller",IF(Table1[[#This Row],[Sales Volume]]&gt;1349,"Average","Slow seller"))</f>
        <v>Best Seller</v>
      </c>
    </row>
    <row r="153" spans="1:18">
      <c r="A153">
        <v>126979</v>
      </c>
      <c r="B153" t="s">
        <v>307</v>
      </c>
      <c r="C153" t="s">
        <v>270</v>
      </c>
      <c r="D153" t="s">
        <v>271</v>
      </c>
      <c r="E153" t="s">
        <v>270</v>
      </c>
      <c r="F153">
        <v>2141</v>
      </c>
      <c r="G153" t="s">
        <v>963</v>
      </c>
      <c r="H153" t="s">
        <v>964</v>
      </c>
      <c r="I153" t="s">
        <v>965</v>
      </c>
      <c r="J153" t="s">
        <v>966</v>
      </c>
      <c r="K153">
        <v>49.9</v>
      </c>
      <c r="L153" t="s">
        <v>276</v>
      </c>
      <c r="M153">
        <f>Table1[[#This Row],[Sales Volume]]*Table1[[#This Row],[price(USD)]]</f>
        <v>106835.9</v>
      </c>
      <c r="N153" t="s">
        <v>893</v>
      </c>
      <c r="O153" t="s">
        <v>894</v>
      </c>
      <c r="P153" t="str">
        <f>HYPERLINK(Table1[[#This Row],[url]],Table1[[#This Row],[name]])</f>
        <v>KNIT SWEATER WITH PIPING</v>
      </c>
      <c r="Q153" t="str">
        <f>IF(Table1[[#This Row],[price(USD)]]&gt;295.33,"Premimum",IF(Table1[[#This Row],[price(USD)]]&gt;151.66,"Mid Range","Budget"))</f>
        <v>Budget</v>
      </c>
      <c r="R153" t="str">
        <f>IF(Table1[[#This Row],[Sales Volume]]&gt;2169,"Best Seller",IF(Table1[[#This Row],[Sales Volume]]&gt;1349,"Average","Slow seller"))</f>
        <v>Average</v>
      </c>
    </row>
    <row r="154" spans="1:18">
      <c r="A154">
        <v>168270</v>
      </c>
      <c r="B154" t="s">
        <v>286</v>
      </c>
      <c r="C154" t="s">
        <v>287</v>
      </c>
      <c r="D154" t="s">
        <v>271</v>
      </c>
      <c r="E154" t="s">
        <v>287</v>
      </c>
      <c r="F154">
        <v>1525</v>
      </c>
      <c r="G154" t="s">
        <v>867</v>
      </c>
      <c r="H154" t="s">
        <v>868</v>
      </c>
      <c r="I154" t="s">
        <v>801</v>
      </c>
      <c r="J154" t="s">
        <v>869</v>
      </c>
      <c r="K154">
        <v>69.900000000000006</v>
      </c>
      <c r="L154" t="s">
        <v>276</v>
      </c>
      <c r="M154">
        <f>Table1[[#This Row],[Sales Volume]]*Table1[[#This Row],[price(USD)]]</f>
        <v>106597.50000000001</v>
      </c>
      <c r="N154" t="s">
        <v>774</v>
      </c>
      <c r="O154" t="s">
        <v>278</v>
      </c>
      <c r="P154" t="str">
        <f>HYPERLINK(Table1[[#This Row],[url]],Table1[[#This Row],[name]])</f>
        <v>MULTIPIECE SNEAKERS</v>
      </c>
      <c r="Q154" t="str">
        <f>IF(Table1[[#This Row],[price(USD)]]&gt;295.33,"Premimum",IF(Table1[[#This Row],[price(USD)]]&gt;151.66,"Mid Range","Budget"))</f>
        <v>Budget</v>
      </c>
      <c r="R154" t="str">
        <f>IF(Table1[[#This Row],[Sales Volume]]&gt;2169,"Best Seller",IF(Table1[[#This Row],[Sales Volume]]&gt;1349,"Average","Slow seller"))</f>
        <v>Average</v>
      </c>
    </row>
    <row r="155" spans="1:18">
      <c r="A155">
        <v>172816</v>
      </c>
      <c r="B155" t="s">
        <v>269</v>
      </c>
      <c r="C155" t="s">
        <v>270</v>
      </c>
      <c r="D155" t="s">
        <v>271</v>
      </c>
      <c r="E155" t="s">
        <v>287</v>
      </c>
      <c r="F155">
        <v>1524</v>
      </c>
      <c r="G155" t="s">
        <v>1069</v>
      </c>
      <c r="H155" t="s">
        <v>1070</v>
      </c>
      <c r="I155" t="s">
        <v>1071</v>
      </c>
      <c r="J155" t="s">
        <v>1072</v>
      </c>
      <c r="K155">
        <v>69.900000000000006</v>
      </c>
      <c r="L155" t="s">
        <v>276</v>
      </c>
      <c r="M155">
        <f>Table1[[#This Row],[Sales Volume]]*Table1[[#This Row],[price(USD)]]</f>
        <v>106527.6</v>
      </c>
      <c r="N155" t="s">
        <v>893</v>
      </c>
      <c r="O155" t="s">
        <v>278</v>
      </c>
      <c r="P155" t="str">
        <f>HYPERLINK(Table1[[#This Row],[url]],Table1[[#This Row],[name]])</f>
        <v>TEXTURED SWEATER</v>
      </c>
      <c r="Q155" t="str">
        <f>IF(Table1[[#This Row],[price(USD)]]&gt;295.33,"Premimum",IF(Table1[[#This Row],[price(USD)]]&gt;151.66,"Mid Range","Budget"))</f>
        <v>Budget</v>
      </c>
      <c r="R155" t="str">
        <f>IF(Table1[[#This Row],[Sales Volume]]&gt;2169,"Best Seller",IF(Table1[[#This Row],[Sales Volume]]&gt;1349,"Average","Slow seller"))</f>
        <v>Average</v>
      </c>
    </row>
    <row r="156" spans="1:18">
      <c r="A156">
        <v>194410</v>
      </c>
      <c r="B156" t="s">
        <v>286</v>
      </c>
      <c r="C156" t="s">
        <v>270</v>
      </c>
      <c r="D156" t="s">
        <v>271</v>
      </c>
      <c r="E156" t="s">
        <v>270</v>
      </c>
      <c r="F156">
        <v>669</v>
      </c>
      <c r="G156" t="s">
        <v>360</v>
      </c>
      <c r="H156" t="s">
        <v>361</v>
      </c>
      <c r="I156" t="s">
        <v>314</v>
      </c>
      <c r="J156" t="s">
        <v>362</v>
      </c>
      <c r="K156">
        <v>159</v>
      </c>
      <c r="L156" t="s">
        <v>276</v>
      </c>
      <c r="M156">
        <f>Table1[[#This Row],[Sales Volume]]*Table1[[#This Row],[price(USD)]]</f>
        <v>106371</v>
      </c>
      <c r="N156" t="s">
        <v>277</v>
      </c>
      <c r="O156" t="s">
        <v>278</v>
      </c>
      <c r="P156" t="str">
        <f>HYPERLINK(Table1[[#This Row],[url]],Table1[[#This Row],[name]])</f>
        <v>SUIT JACKET IN 100% LINEN</v>
      </c>
      <c r="Q156" t="str">
        <f>IF(Table1[[#This Row],[price(USD)]]&gt;295.33,"Premimum",IF(Table1[[#This Row],[price(USD)]]&gt;151.66,"Mid Range","Budget"))</f>
        <v>Mid Range</v>
      </c>
      <c r="R156" t="str">
        <f>IF(Table1[[#This Row],[Sales Volume]]&gt;2169,"Best Seller",IF(Table1[[#This Row],[Sales Volume]]&gt;1349,"Average","Slow seller"))</f>
        <v>Slow seller</v>
      </c>
    </row>
    <row r="157" spans="1:18">
      <c r="A157">
        <v>146804</v>
      </c>
      <c r="B157" t="s">
        <v>269</v>
      </c>
      <c r="C157" t="s">
        <v>287</v>
      </c>
      <c r="D157" t="s">
        <v>271</v>
      </c>
      <c r="E157" t="s">
        <v>270</v>
      </c>
      <c r="F157">
        <v>1504</v>
      </c>
      <c r="G157" t="s">
        <v>886</v>
      </c>
      <c r="H157" t="s">
        <v>887</v>
      </c>
      <c r="I157" t="s">
        <v>841</v>
      </c>
      <c r="J157" t="s">
        <v>888</v>
      </c>
      <c r="K157">
        <v>69.900000000000006</v>
      </c>
      <c r="L157" t="s">
        <v>276</v>
      </c>
      <c r="M157">
        <f>Table1[[#This Row],[Sales Volume]]*Table1[[#This Row],[price(USD)]]</f>
        <v>105129.60000000001</v>
      </c>
      <c r="N157" t="s">
        <v>774</v>
      </c>
      <c r="O157" t="s">
        <v>278</v>
      </c>
      <c r="P157" t="str">
        <f>HYPERLINK(Table1[[#This Row],[url]],Table1[[#This Row],[name]])</f>
        <v>SUEDE SNEAKERS</v>
      </c>
      <c r="Q157" t="str">
        <f>IF(Table1[[#This Row],[price(USD)]]&gt;295.33,"Premimum",IF(Table1[[#This Row],[price(USD)]]&gt;151.66,"Mid Range","Budget"))</f>
        <v>Budget</v>
      </c>
      <c r="R157" t="str">
        <f>IF(Table1[[#This Row],[Sales Volume]]&gt;2169,"Best Seller",IF(Table1[[#This Row],[Sales Volume]]&gt;1349,"Average","Slow seller"))</f>
        <v>Average</v>
      </c>
    </row>
    <row r="158" spans="1:18">
      <c r="A158">
        <v>127296</v>
      </c>
      <c r="B158" t="s">
        <v>269</v>
      </c>
      <c r="C158" t="s">
        <v>270</v>
      </c>
      <c r="D158" t="s">
        <v>271</v>
      </c>
      <c r="E158" t="s">
        <v>270</v>
      </c>
      <c r="F158">
        <v>1165</v>
      </c>
      <c r="G158" t="s">
        <v>442</v>
      </c>
      <c r="H158" t="s">
        <v>443</v>
      </c>
      <c r="I158" t="s">
        <v>444</v>
      </c>
      <c r="J158" t="s">
        <v>445</v>
      </c>
      <c r="K158">
        <v>89.9</v>
      </c>
      <c r="L158" t="s">
        <v>276</v>
      </c>
      <c r="M158">
        <f>Table1[[#This Row],[Sales Volume]]*Table1[[#This Row],[price(USD)]]</f>
        <v>104733.5</v>
      </c>
      <c r="N158" t="s">
        <v>277</v>
      </c>
      <c r="O158" t="s">
        <v>278</v>
      </c>
      <c r="P158" t="str">
        <f>HYPERLINK(Table1[[#This Row],[url]],Table1[[#This Row],[name]])</f>
        <v>CROPPED TEXTURED JACKET</v>
      </c>
      <c r="Q158" t="str">
        <f>IF(Table1[[#This Row],[price(USD)]]&gt;295.33,"Premimum",IF(Table1[[#This Row],[price(USD)]]&gt;151.66,"Mid Range","Budget"))</f>
        <v>Budget</v>
      </c>
      <c r="R158" t="str">
        <f>IF(Table1[[#This Row],[Sales Volume]]&gt;2169,"Best Seller",IF(Table1[[#This Row],[Sales Volume]]&gt;1349,"Average","Slow seller"))</f>
        <v>Slow seller</v>
      </c>
    </row>
    <row r="159" spans="1:18">
      <c r="A159">
        <v>181502</v>
      </c>
      <c r="B159" t="s">
        <v>307</v>
      </c>
      <c r="C159" t="s">
        <v>287</v>
      </c>
      <c r="D159" t="s">
        <v>271</v>
      </c>
      <c r="E159" t="s">
        <v>270</v>
      </c>
      <c r="F159">
        <v>2591</v>
      </c>
      <c r="G159" t="s">
        <v>943</v>
      </c>
      <c r="H159" t="s">
        <v>944</v>
      </c>
      <c r="I159" t="s">
        <v>945</v>
      </c>
      <c r="J159" t="s">
        <v>946</v>
      </c>
      <c r="K159">
        <v>39.9</v>
      </c>
      <c r="L159" t="s">
        <v>276</v>
      </c>
      <c r="M159">
        <f>Table1[[#This Row],[Sales Volume]]*Table1[[#This Row],[price(USD)]]</f>
        <v>103380.9</v>
      </c>
      <c r="N159" t="s">
        <v>893</v>
      </c>
      <c r="O159" t="s">
        <v>894</v>
      </c>
      <c r="P159" t="str">
        <f>HYPERLINK(Table1[[#This Row],[url]],Table1[[#This Row],[name]])</f>
        <v>SOFT JEWEL SWEATER</v>
      </c>
      <c r="Q159" t="str">
        <f>IF(Table1[[#This Row],[price(USD)]]&gt;295.33,"Premimum",IF(Table1[[#This Row],[price(USD)]]&gt;151.66,"Mid Range","Budget"))</f>
        <v>Budget</v>
      </c>
      <c r="R159" t="str">
        <f>IF(Table1[[#This Row],[Sales Volume]]&gt;2169,"Best Seller",IF(Table1[[#This Row],[Sales Volume]]&gt;1349,"Average","Slow seller"))</f>
        <v>Best Seller</v>
      </c>
    </row>
    <row r="160" spans="1:18">
      <c r="A160">
        <v>196752</v>
      </c>
      <c r="B160" t="s">
        <v>286</v>
      </c>
      <c r="C160" t="s">
        <v>270</v>
      </c>
      <c r="D160" t="s">
        <v>271</v>
      </c>
      <c r="E160" t="s">
        <v>270</v>
      </c>
      <c r="F160">
        <v>2227</v>
      </c>
      <c r="G160" t="s">
        <v>1157</v>
      </c>
      <c r="H160" t="s">
        <v>1158</v>
      </c>
      <c r="I160" t="s">
        <v>1128</v>
      </c>
      <c r="J160" t="s">
        <v>1129</v>
      </c>
      <c r="K160">
        <v>45.9</v>
      </c>
      <c r="L160" t="s">
        <v>276</v>
      </c>
      <c r="M160">
        <f>Table1[[#This Row],[Sales Volume]]*Table1[[#This Row],[price(USD)]]</f>
        <v>102219.3</v>
      </c>
      <c r="N160" t="s">
        <v>1093</v>
      </c>
      <c r="O160" t="s">
        <v>278</v>
      </c>
      <c r="P160" t="str">
        <f>HYPERLINK(Table1[[#This Row],[url]],Table1[[#This Row],[name]])</f>
        <v>STRUCTURED TEXT T-SHIRT</v>
      </c>
      <c r="Q160" t="str">
        <f>IF(Table1[[#This Row],[price(USD)]]&gt;295.33,"Premimum",IF(Table1[[#This Row],[price(USD)]]&gt;151.66,"Mid Range","Budget"))</f>
        <v>Budget</v>
      </c>
      <c r="R160" t="str">
        <f>IF(Table1[[#This Row],[Sales Volume]]&gt;2169,"Best Seller",IF(Table1[[#This Row],[Sales Volume]]&gt;1349,"Average","Slow seller"))</f>
        <v>Best Seller</v>
      </c>
    </row>
    <row r="161" spans="1:18">
      <c r="A161">
        <v>167981</v>
      </c>
      <c r="B161" t="s">
        <v>286</v>
      </c>
      <c r="C161" t="s">
        <v>270</v>
      </c>
      <c r="D161" t="s">
        <v>271</v>
      </c>
      <c r="E161" t="s">
        <v>270</v>
      </c>
      <c r="F161">
        <v>730</v>
      </c>
      <c r="G161" t="s">
        <v>629</v>
      </c>
      <c r="H161" t="s">
        <v>630</v>
      </c>
      <c r="I161" t="s">
        <v>631</v>
      </c>
      <c r="J161" t="s">
        <v>632</v>
      </c>
      <c r="K161">
        <v>139</v>
      </c>
      <c r="L161" t="s">
        <v>276</v>
      </c>
      <c r="M161">
        <f>Table1[[#This Row],[Sales Volume]]*Table1[[#This Row],[price(USD)]]</f>
        <v>101470</v>
      </c>
      <c r="N161" t="s">
        <v>277</v>
      </c>
      <c r="O161" t="s">
        <v>278</v>
      </c>
      <c r="P161" t="str">
        <f>HYPERLINK(Table1[[#This Row],[url]],Table1[[#This Row],[name]])</f>
        <v>HOUNDSTOOTH SUIT JACKET</v>
      </c>
      <c r="Q161" t="str">
        <f>IF(Table1[[#This Row],[price(USD)]]&gt;295.33,"Premimum",IF(Table1[[#This Row],[price(USD)]]&gt;151.66,"Mid Range","Budget"))</f>
        <v>Budget</v>
      </c>
      <c r="R161" t="str">
        <f>IF(Table1[[#This Row],[Sales Volume]]&gt;2169,"Best Seller",IF(Table1[[#This Row],[Sales Volume]]&gt;1349,"Average","Slow seller"))</f>
        <v>Slow seller</v>
      </c>
    </row>
    <row r="162" spans="1:18">
      <c r="A162">
        <v>174041</v>
      </c>
      <c r="B162" t="s">
        <v>286</v>
      </c>
      <c r="C162" t="s">
        <v>270</v>
      </c>
      <c r="D162" t="s">
        <v>271</v>
      </c>
      <c r="E162" t="s">
        <v>270</v>
      </c>
      <c r="F162">
        <v>2016</v>
      </c>
      <c r="G162" t="s">
        <v>799</v>
      </c>
      <c r="H162" t="s">
        <v>800</v>
      </c>
      <c r="I162" t="s">
        <v>801</v>
      </c>
      <c r="J162" t="s">
        <v>802</v>
      </c>
      <c r="K162">
        <v>49.9</v>
      </c>
      <c r="L162" t="s">
        <v>276</v>
      </c>
      <c r="M162">
        <f>Table1[[#This Row],[Sales Volume]]*Table1[[#This Row],[price(USD)]]</f>
        <v>100598.39999999999</v>
      </c>
      <c r="N162" t="s">
        <v>774</v>
      </c>
      <c r="O162" t="s">
        <v>278</v>
      </c>
      <c r="P162" t="str">
        <f>HYPERLINK(Table1[[#This Row],[url]],Table1[[#This Row],[name]])</f>
        <v>MULTIPIECE SNEAKERS</v>
      </c>
      <c r="Q162" t="str">
        <f>IF(Table1[[#This Row],[price(USD)]]&gt;295.33,"Premimum",IF(Table1[[#This Row],[price(USD)]]&gt;151.66,"Mid Range","Budget"))</f>
        <v>Budget</v>
      </c>
      <c r="R162" t="str">
        <f>IF(Table1[[#This Row],[Sales Volume]]&gt;2169,"Best Seller",IF(Table1[[#This Row],[Sales Volume]]&gt;1349,"Average","Slow seller"))</f>
        <v>Average</v>
      </c>
    </row>
    <row r="163" spans="1:18">
      <c r="A163">
        <v>134788</v>
      </c>
      <c r="B163" t="s">
        <v>307</v>
      </c>
      <c r="C163" t="s">
        <v>270</v>
      </c>
      <c r="D163" t="s">
        <v>271</v>
      </c>
      <c r="E163" t="s">
        <v>270</v>
      </c>
      <c r="F163">
        <v>2179</v>
      </c>
      <c r="G163" t="s">
        <v>1015</v>
      </c>
      <c r="H163" t="s">
        <v>1016</v>
      </c>
      <c r="I163" t="s">
        <v>1017</v>
      </c>
      <c r="J163" t="s">
        <v>1018</v>
      </c>
      <c r="K163">
        <v>45.9</v>
      </c>
      <c r="L163" t="s">
        <v>276</v>
      </c>
      <c r="M163">
        <f>Table1[[#This Row],[Sales Volume]]*Table1[[#This Row],[price(USD)]]</f>
        <v>100016.09999999999</v>
      </c>
      <c r="N163" t="s">
        <v>893</v>
      </c>
      <c r="O163" t="s">
        <v>894</v>
      </c>
      <c r="P163" t="str">
        <f>HYPERLINK(Table1[[#This Row],[url]],Table1[[#This Row],[name]])</f>
        <v>FINE KNIT SWEATER</v>
      </c>
      <c r="Q163" t="str">
        <f>IF(Table1[[#This Row],[price(USD)]]&gt;295.33,"Premimum",IF(Table1[[#This Row],[price(USD)]]&gt;151.66,"Mid Range","Budget"))</f>
        <v>Budget</v>
      </c>
      <c r="R163" t="str">
        <f>IF(Table1[[#This Row],[Sales Volume]]&gt;2169,"Best Seller",IF(Table1[[#This Row],[Sales Volume]]&gt;1349,"Average","Slow seller"))</f>
        <v>Best Seller</v>
      </c>
    </row>
    <row r="164" spans="1:18">
      <c r="A164">
        <v>141547</v>
      </c>
      <c r="B164" t="s">
        <v>286</v>
      </c>
      <c r="C164" t="s">
        <v>270</v>
      </c>
      <c r="D164" t="s">
        <v>271</v>
      </c>
      <c r="E164" t="s">
        <v>270</v>
      </c>
      <c r="F164">
        <v>1426</v>
      </c>
      <c r="G164" t="s">
        <v>1051</v>
      </c>
      <c r="H164" t="s">
        <v>1052</v>
      </c>
      <c r="I164" t="s">
        <v>1049</v>
      </c>
      <c r="J164" t="s">
        <v>1050</v>
      </c>
      <c r="K164">
        <v>69.900000000000006</v>
      </c>
      <c r="L164" t="s">
        <v>276</v>
      </c>
      <c r="M164">
        <f>Table1[[#This Row],[Sales Volume]]*Table1[[#This Row],[price(USD)]]</f>
        <v>99677.400000000009</v>
      </c>
      <c r="N164" t="s">
        <v>1042</v>
      </c>
      <c r="O164" t="s">
        <v>278</v>
      </c>
      <c r="P164" t="str">
        <f>HYPERLINK(Table1[[#This Row],[url]],Table1[[#This Row],[name]])</f>
        <v>BAGGY FIT JEANS</v>
      </c>
      <c r="Q164" t="str">
        <f>IF(Table1[[#This Row],[price(USD)]]&gt;295.33,"Premimum",IF(Table1[[#This Row],[price(USD)]]&gt;151.66,"Mid Range","Budget"))</f>
        <v>Budget</v>
      </c>
      <c r="R164" t="str">
        <f>IF(Table1[[#This Row],[Sales Volume]]&gt;2169,"Best Seller",IF(Table1[[#This Row],[Sales Volume]]&gt;1349,"Average","Slow seller"))</f>
        <v>Average</v>
      </c>
    </row>
    <row r="165" spans="1:18">
      <c r="A165">
        <v>155848</v>
      </c>
      <c r="B165" t="s">
        <v>286</v>
      </c>
      <c r="C165" t="s">
        <v>287</v>
      </c>
      <c r="D165" t="s">
        <v>271</v>
      </c>
      <c r="E165" t="s">
        <v>270</v>
      </c>
      <c r="F165">
        <v>1942</v>
      </c>
      <c r="G165" t="s">
        <v>923</v>
      </c>
      <c r="H165" t="s">
        <v>924</v>
      </c>
      <c r="I165" t="s">
        <v>925</v>
      </c>
      <c r="J165" t="s">
        <v>926</v>
      </c>
      <c r="K165">
        <v>49.9</v>
      </c>
      <c r="L165" t="s">
        <v>276</v>
      </c>
      <c r="M165">
        <f>Table1[[#This Row],[Sales Volume]]*Table1[[#This Row],[price(USD)]]</f>
        <v>96905.8</v>
      </c>
      <c r="N165" t="s">
        <v>893</v>
      </c>
      <c r="O165" t="s">
        <v>894</v>
      </c>
      <c r="P165" t="str">
        <f>HYPERLINK(Table1[[#This Row],[url]],Table1[[#This Row],[name]])</f>
        <v>MOCK NECK WOOL AND SILK BLEND KNIT TOP</v>
      </c>
      <c r="Q165" t="str">
        <f>IF(Table1[[#This Row],[price(USD)]]&gt;295.33,"Premimum",IF(Table1[[#This Row],[price(USD)]]&gt;151.66,"Mid Range","Budget"))</f>
        <v>Budget</v>
      </c>
      <c r="R165" t="str">
        <f>IF(Table1[[#This Row],[Sales Volume]]&gt;2169,"Best Seller",IF(Table1[[#This Row],[Sales Volume]]&gt;1349,"Average","Slow seller"))</f>
        <v>Average</v>
      </c>
    </row>
    <row r="166" spans="1:18">
      <c r="A166">
        <v>118985</v>
      </c>
      <c r="B166" t="s">
        <v>269</v>
      </c>
      <c r="C166" t="s">
        <v>270</v>
      </c>
      <c r="D166" t="s">
        <v>271</v>
      </c>
      <c r="E166" t="s">
        <v>287</v>
      </c>
      <c r="F166">
        <v>694</v>
      </c>
      <c r="G166" t="s">
        <v>995</v>
      </c>
      <c r="H166" t="s">
        <v>752</v>
      </c>
      <c r="I166" t="s">
        <v>389</v>
      </c>
      <c r="J166" t="s">
        <v>608</v>
      </c>
      <c r="K166">
        <v>139</v>
      </c>
      <c r="L166" t="s">
        <v>276</v>
      </c>
      <c r="M166">
        <f>Table1[[#This Row],[Sales Volume]]*Table1[[#This Row],[price(USD)]]</f>
        <v>96466</v>
      </c>
      <c r="N166" t="s">
        <v>1093</v>
      </c>
      <c r="O166" t="s">
        <v>278</v>
      </c>
      <c r="P166" t="str">
        <f>HYPERLINK(Table1[[#This Row],[url]],Table1[[#This Row],[name]])</f>
        <v>PATCH BOMBER JACKET</v>
      </c>
      <c r="Q166" t="str">
        <f>IF(Table1[[#This Row],[price(USD)]]&gt;295.33,"Premimum",IF(Table1[[#This Row],[price(USD)]]&gt;151.66,"Mid Range","Budget"))</f>
        <v>Budget</v>
      </c>
      <c r="R166" t="str">
        <f>IF(Table1[[#This Row],[Sales Volume]]&gt;2169,"Best Seller",IF(Table1[[#This Row],[Sales Volume]]&gt;1349,"Average","Slow seller"))</f>
        <v>Slow seller</v>
      </c>
    </row>
    <row r="167" spans="1:18">
      <c r="A167">
        <v>125398</v>
      </c>
      <c r="B167" t="s">
        <v>269</v>
      </c>
      <c r="C167" t="s">
        <v>287</v>
      </c>
      <c r="D167" t="s">
        <v>271</v>
      </c>
      <c r="E167" t="s">
        <v>287</v>
      </c>
      <c r="F167">
        <v>1350</v>
      </c>
      <c r="G167" t="s">
        <v>779</v>
      </c>
      <c r="H167" t="s">
        <v>780</v>
      </c>
      <c r="I167" t="s">
        <v>781</v>
      </c>
      <c r="J167" t="s">
        <v>782</v>
      </c>
      <c r="K167">
        <v>69.900000000000006</v>
      </c>
      <c r="L167" t="s">
        <v>276</v>
      </c>
      <c r="M167">
        <f>Table1[[#This Row],[Sales Volume]]*Table1[[#This Row],[price(USD)]]</f>
        <v>94365.000000000015</v>
      </c>
      <c r="N167" t="s">
        <v>774</v>
      </c>
      <c r="O167" t="s">
        <v>278</v>
      </c>
      <c r="P167" t="str">
        <f>HYPERLINK(Table1[[#This Row],[url]],Table1[[#This Row],[name]])</f>
        <v>SUEDE LACELESS SNEAKERS</v>
      </c>
      <c r="Q167" t="str">
        <f>IF(Table1[[#This Row],[price(USD)]]&gt;295.33,"Premimum",IF(Table1[[#This Row],[price(USD)]]&gt;151.66,"Mid Range","Budget"))</f>
        <v>Budget</v>
      </c>
      <c r="R167" t="str">
        <f>IF(Table1[[#This Row],[Sales Volume]]&gt;2169,"Best Seller",IF(Table1[[#This Row],[Sales Volume]]&gt;1349,"Average","Slow seller"))</f>
        <v>Average</v>
      </c>
    </row>
    <row r="168" spans="1:18">
      <c r="A168">
        <v>152985</v>
      </c>
      <c r="B168" t="s">
        <v>269</v>
      </c>
      <c r="C168" t="s">
        <v>287</v>
      </c>
      <c r="D168" t="s">
        <v>271</v>
      </c>
      <c r="E168" t="s">
        <v>287</v>
      </c>
      <c r="F168">
        <v>1049</v>
      </c>
      <c r="G168" t="s">
        <v>1035</v>
      </c>
      <c r="H168" t="s">
        <v>1036</v>
      </c>
      <c r="I168" t="s">
        <v>695</v>
      </c>
      <c r="J168" t="s">
        <v>1037</v>
      </c>
      <c r="K168">
        <v>89.9</v>
      </c>
      <c r="L168" t="s">
        <v>276</v>
      </c>
      <c r="M168">
        <f>Table1[[#This Row],[Sales Volume]]*Table1[[#This Row],[price(USD)]]</f>
        <v>94305.1</v>
      </c>
      <c r="N168" t="s">
        <v>277</v>
      </c>
      <c r="O168" t="s">
        <v>278</v>
      </c>
      <c r="P168" t="str">
        <f>HYPERLINK(Table1[[#This Row],[url]],Table1[[#This Row],[name]])</f>
        <v>PLAID OVERSHIRT</v>
      </c>
      <c r="Q168" t="str">
        <f>IF(Table1[[#This Row],[price(USD)]]&gt;295.33,"Premimum",IF(Table1[[#This Row],[price(USD)]]&gt;151.66,"Mid Range","Budget"))</f>
        <v>Budget</v>
      </c>
      <c r="R168" t="str">
        <f>IF(Table1[[#This Row],[Sales Volume]]&gt;2169,"Best Seller",IF(Table1[[#This Row],[Sales Volume]]&gt;1349,"Average","Slow seller"))</f>
        <v>Slow seller</v>
      </c>
    </row>
    <row r="169" spans="1:18">
      <c r="A169">
        <v>135857</v>
      </c>
      <c r="B169" t="s">
        <v>269</v>
      </c>
      <c r="C169" t="s">
        <v>270</v>
      </c>
      <c r="D169" t="s">
        <v>271</v>
      </c>
      <c r="E169" t="s">
        <v>287</v>
      </c>
      <c r="F169">
        <v>2045</v>
      </c>
      <c r="G169" t="s">
        <v>1145</v>
      </c>
      <c r="H169" t="s">
        <v>1146</v>
      </c>
      <c r="I169" t="s">
        <v>1147</v>
      </c>
      <c r="J169" t="s">
        <v>1148</v>
      </c>
      <c r="K169">
        <v>45.9</v>
      </c>
      <c r="L169" t="s">
        <v>276</v>
      </c>
      <c r="M169">
        <f>Table1[[#This Row],[Sales Volume]]*Table1[[#This Row],[price(USD)]]</f>
        <v>93865.5</v>
      </c>
      <c r="N169" t="s">
        <v>1093</v>
      </c>
      <c r="O169" t="s">
        <v>278</v>
      </c>
      <c r="P169" t="str">
        <f>HYPERLINK(Table1[[#This Row],[url]],Table1[[#This Row],[name]])</f>
        <v>VISCOSE BLEND KNIT T-SHIRT</v>
      </c>
      <c r="Q169" t="str">
        <f>IF(Table1[[#This Row],[price(USD)]]&gt;295.33,"Premimum",IF(Table1[[#This Row],[price(USD)]]&gt;151.66,"Mid Range","Budget"))</f>
        <v>Budget</v>
      </c>
      <c r="R169" t="str">
        <f>IF(Table1[[#This Row],[Sales Volume]]&gt;2169,"Best Seller",IF(Table1[[#This Row],[Sales Volume]]&gt;1349,"Average","Slow seller"))</f>
        <v>Average</v>
      </c>
    </row>
    <row r="170" spans="1:18">
      <c r="A170">
        <v>147491</v>
      </c>
      <c r="B170" t="s">
        <v>286</v>
      </c>
      <c r="C170" t="s">
        <v>270</v>
      </c>
      <c r="D170" t="s">
        <v>271</v>
      </c>
      <c r="E170" t="s">
        <v>270</v>
      </c>
      <c r="F170">
        <v>1563</v>
      </c>
      <c r="G170" t="s">
        <v>1043</v>
      </c>
      <c r="H170" t="s">
        <v>1044</v>
      </c>
      <c r="I170" t="s">
        <v>1045</v>
      </c>
      <c r="J170" t="s">
        <v>1046</v>
      </c>
      <c r="K170">
        <v>59.9</v>
      </c>
      <c r="L170" t="s">
        <v>276</v>
      </c>
      <c r="M170">
        <f>Table1[[#This Row],[Sales Volume]]*Table1[[#This Row],[price(USD)]]</f>
        <v>93623.7</v>
      </c>
      <c r="N170" t="s">
        <v>1042</v>
      </c>
      <c r="O170" t="s">
        <v>278</v>
      </c>
      <c r="P170" t="str">
        <f>HYPERLINK(Table1[[#This Row],[url]],Table1[[#This Row],[name]])</f>
        <v>BAGGY BELTED JEANS</v>
      </c>
      <c r="Q170" t="str">
        <f>IF(Table1[[#This Row],[price(USD)]]&gt;295.33,"Premimum",IF(Table1[[#This Row],[price(USD)]]&gt;151.66,"Mid Range","Budget"))</f>
        <v>Budget</v>
      </c>
      <c r="R170" t="str">
        <f>IF(Table1[[#This Row],[Sales Volume]]&gt;2169,"Best Seller",IF(Table1[[#This Row],[Sales Volume]]&gt;1349,"Average","Slow seller"))</f>
        <v>Average</v>
      </c>
    </row>
    <row r="171" spans="1:18">
      <c r="A171">
        <v>167599</v>
      </c>
      <c r="B171" t="s">
        <v>269</v>
      </c>
      <c r="C171" t="s">
        <v>270</v>
      </c>
      <c r="D171" t="s">
        <v>271</v>
      </c>
      <c r="E171" t="s">
        <v>270</v>
      </c>
      <c r="F171">
        <v>1500</v>
      </c>
      <c r="G171" t="s">
        <v>831</v>
      </c>
      <c r="H171" t="s">
        <v>832</v>
      </c>
      <c r="I171" t="s">
        <v>833</v>
      </c>
      <c r="J171" t="s">
        <v>834</v>
      </c>
      <c r="K171">
        <v>59.9</v>
      </c>
      <c r="L171" t="s">
        <v>276</v>
      </c>
      <c r="M171">
        <f>Table1[[#This Row],[Sales Volume]]*Table1[[#This Row],[price(USD)]]</f>
        <v>89850</v>
      </c>
      <c r="N171" t="s">
        <v>774</v>
      </c>
      <c r="O171" t="s">
        <v>278</v>
      </c>
      <c r="P171" t="str">
        <f>HYPERLINK(Table1[[#This Row],[url]],Table1[[#This Row],[name]])</f>
        <v>SUEDE RETRO SNEAKERS</v>
      </c>
      <c r="Q171" t="str">
        <f>IF(Table1[[#This Row],[price(USD)]]&gt;295.33,"Premimum",IF(Table1[[#This Row],[price(USD)]]&gt;151.66,"Mid Range","Budget"))</f>
        <v>Budget</v>
      </c>
      <c r="R171" t="str">
        <f>IF(Table1[[#This Row],[Sales Volume]]&gt;2169,"Best Seller",IF(Table1[[#This Row],[Sales Volume]]&gt;1349,"Average","Slow seller"))</f>
        <v>Average</v>
      </c>
    </row>
    <row r="172" spans="1:18">
      <c r="A172">
        <v>181011</v>
      </c>
      <c r="B172" t="s">
        <v>269</v>
      </c>
      <c r="C172" t="s">
        <v>287</v>
      </c>
      <c r="D172" t="s">
        <v>271</v>
      </c>
      <c r="E172" t="s">
        <v>287</v>
      </c>
      <c r="F172">
        <v>994</v>
      </c>
      <c r="G172" t="s">
        <v>931</v>
      </c>
      <c r="H172" t="s">
        <v>694</v>
      </c>
      <c r="I172" t="s">
        <v>326</v>
      </c>
      <c r="J172" t="s">
        <v>809</v>
      </c>
      <c r="K172">
        <v>89.9</v>
      </c>
      <c r="L172" t="s">
        <v>276</v>
      </c>
      <c r="M172">
        <f>Table1[[#This Row],[Sales Volume]]*Table1[[#This Row],[price(USD)]]</f>
        <v>89360.6</v>
      </c>
      <c r="N172" t="s">
        <v>774</v>
      </c>
      <c r="O172" t="s">
        <v>278</v>
      </c>
      <c r="P172" t="str">
        <f>HYPERLINK(Table1[[#This Row],[url]],Table1[[#This Row],[name]])</f>
        <v>HERRINGBONE TEXTURED JACKET</v>
      </c>
      <c r="Q172" t="str">
        <f>IF(Table1[[#This Row],[price(USD)]]&gt;295.33,"Premimum",IF(Table1[[#This Row],[price(USD)]]&gt;151.66,"Mid Range","Budget"))</f>
        <v>Budget</v>
      </c>
      <c r="R172" t="str">
        <f>IF(Table1[[#This Row],[Sales Volume]]&gt;2169,"Best Seller",IF(Table1[[#This Row],[Sales Volume]]&gt;1349,"Average","Slow seller"))</f>
        <v>Slow seller</v>
      </c>
    </row>
    <row r="173" spans="1:18">
      <c r="A173">
        <v>137990</v>
      </c>
      <c r="B173" t="s">
        <v>269</v>
      </c>
      <c r="C173" t="s">
        <v>270</v>
      </c>
      <c r="D173" t="s">
        <v>271</v>
      </c>
      <c r="E173" t="s">
        <v>270</v>
      </c>
      <c r="F173">
        <v>2929</v>
      </c>
      <c r="G173" t="s">
        <v>537</v>
      </c>
      <c r="H173" t="s">
        <v>538</v>
      </c>
      <c r="I173" t="s">
        <v>539</v>
      </c>
      <c r="J173" t="s">
        <v>540</v>
      </c>
      <c r="K173">
        <v>29.99</v>
      </c>
      <c r="L173" t="s">
        <v>276</v>
      </c>
      <c r="M173">
        <f>Table1[[#This Row],[Sales Volume]]*Table1[[#This Row],[price(USD)]]</f>
        <v>87840.709999999992</v>
      </c>
      <c r="N173" t="s">
        <v>277</v>
      </c>
      <c r="O173" t="s">
        <v>278</v>
      </c>
      <c r="P173" t="str">
        <f>HYPERLINK(Table1[[#This Row],[url]],Table1[[#This Row],[name]])</f>
        <v>COTTON JACKET</v>
      </c>
      <c r="Q173" t="str">
        <f>IF(Table1[[#This Row],[price(USD)]]&gt;295.33,"Premimum",IF(Table1[[#This Row],[price(USD)]]&gt;151.66,"Mid Range","Budget"))</f>
        <v>Budget</v>
      </c>
      <c r="R173" t="str">
        <f>IF(Table1[[#This Row],[Sales Volume]]&gt;2169,"Best Seller",IF(Table1[[#This Row],[Sales Volume]]&gt;1349,"Average","Slow seller"))</f>
        <v>Best Seller</v>
      </c>
    </row>
    <row r="174" spans="1:18">
      <c r="A174">
        <v>134104</v>
      </c>
      <c r="B174" t="s">
        <v>286</v>
      </c>
      <c r="C174" t="s">
        <v>270</v>
      </c>
      <c r="D174" t="s">
        <v>271</v>
      </c>
      <c r="E174" t="s">
        <v>287</v>
      </c>
      <c r="F174">
        <v>1466</v>
      </c>
      <c r="G174" t="s">
        <v>725</v>
      </c>
      <c r="H174" t="s">
        <v>726</v>
      </c>
      <c r="I174" t="s">
        <v>727</v>
      </c>
      <c r="J174" t="s">
        <v>728</v>
      </c>
      <c r="K174">
        <v>59.9</v>
      </c>
      <c r="L174" t="s">
        <v>276</v>
      </c>
      <c r="M174">
        <f>Table1[[#This Row],[Sales Volume]]*Table1[[#This Row],[price(USD)]]</f>
        <v>87813.4</v>
      </c>
      <c r="N174" t="s">
        <v>277</v>
      </c>
      <c r="O174" t="s">
        <v>278</v>
      </c>
      <c r="P174" t="str">
        <f>HYPERLINK(Table1[[#This Row],[url]],Table1[[#This Row],[name]])</f>
        <v>OVERSHIRT</v>
      </c>
      <c r="Q174" t="str">
        <f>IF(Table1[[#This Row],[price(USD)]]&gt;295.33,"Premimum",IF(Table1[[#This Row],[price(USD)]]&gt;151.66,"Mid Range","Budget"))</f>
        <v>Budget</v>
      </c>
      <c r="R174" t="str">
        <f>IF(Table1[[#This Row],[Sales Volume]]&gt;2169,"Best Seller",IF(Table1[[#This Row],[Sales Volume]]&gt;1349,"Average","Slow seller"))</f>
        <v>Average</v>
      </c>
    </row>
    <row r="175" spans="1:18">
      <c r="A175">
        <v>150953</v>
      </c>
      <c r="B175" t="s">
        <v>307</v>
      </c>
      <c r="C175" t="s">
        <v>287</v>
      </c>
      <c r="D175" t="s">
        <v>271</v>
      </c>
      <c r="E175" t="s">
        <v>287</v>
      </c>
      <c r="F175">
        <v>2434</v>
      </c>
      <c r="G175" t="s">
        <v>983</v>
      </c>
      <c r="H175" t="s">
        <v>984</v>
      </c>
      <c r="I175" t="s">
        <v>985</v>
      </c>
      <c r="J175" t="s">
        <v>986</v>
      </c>
      <c r="K175">
        <v>35.9</v>
      </c>
      <c r="L175" t="s">
        <v>276</v>
      </c>
      <c r="M175">
        <f>Table1[[#This Row],[Sales Volume]]*Table1[[#This Row],[price(USD)]]</f>
        <v>87380.599999999991</v>
      </c>
      <c r="N175" t="s">
        <v>893</v>
      </c>
      <c r="O175" t="s">
        <v>894</v>
      </c>
      <c r="P175" t="str">
        <f>HYPERLINK(Table1[[#This Row],[url]],Table1[[#This Row],[name]])</f>
        <v>BASIC FOIL KNIT SWEATER</v>
      </c>
      <c r="Q175" t="str">
        <f>IF(Table1[[#This Row],[price(USD)]]&gt;295.33,"Premimum",IF(Table1[[#This Row],[price(USD)]]&gt;151.66,"Mid Range","Budget"))</f>
        <v>Budget</v>
      </c>
      <c r="R175" t="str">
        <f>IF(Table1[[#This Row],[Sales Volume]]&gt;2169,"Best Seller",IF(Table1[[#This Row],[Sales Volume]]&gt;1349,"Average","Slow seller"))</f>
        <v>Best Seller</v>
      </c>
    </row>
    <row r="176" spans="1:18">
      <c r="A176">
        <v>191230</v>
      </c>
      <c r="B176" t="s">
        <v>286</v>
      </c>
      <c r="C176" t="s">
        <v>270</v>
      </c>
      <c r="D176" t="s">
        <v>271</v>
      </c>
      <c r="E176" t="s">
        <v>270</v>
      </c>
      <c r="F176">
        <v>966</v>
      </c>
      <c r="G176" t="s">
        <v>387</v>
      </c>
      <c r="H176" t="s">
        <v>388</v>
      </c>
      <c r="I176" t="s">
        <v>389</v>
      </c>
      <c r="J176" t="s">
        <v>390</v>
      </c>
      <c r="K176">
        <v>89.9</v>
      </c>
      <c r="L176" t="s">
        <v>276</v>
      </c>
      <c r="M176">
        <f>Table1[[#This Row],[Sales Volume]]*Table1[[#This Row],[price(USD)]]</f>
        <v>86843.400000000009</v>
      </c>
      <c r="N176" t="s">
        <v>277</v>
      </c>
      <c r="O176" t="s">
        <v>278</v>
      </c>
      <c r="P176" t="str">
        <f>HYPERLINK(Table1[[#This Row],[url]],Table1[[#This Row],[name]])</f>
        <v>PATCH BOMBER JACKET</v>
      </c>
      <c r="Q176" t="str">
        <f>IF(Table1[[#This Row],[price(USD)]]&gt;295.33,"Premimum",IF(Table1[[#This Row],[price(USD)]]&gt;151.66,"Mid Range","Budget"))</f>
        <v>Budget</v>
      </c>
      <c r="R176" t="str">
        <f>IF(Table1[[#This Row],[Sales Volume]]&gt;2169,"Best Seller",IF(Table1[[#This Row],[Sales Volume]]&gt;1349,"Average","Slow seller"))</f>
        <v>Slow seller</v>
      </c>
    </row>
    <row r="177" spans="1:18">
      <c r="A177">
        <v>173550</v>
      </c>
      <c r="B177" t="s">
        <v>286</v>
      </c>
      <c r="C177" t="s">
        <v>270</v>
      </c>
      <c r="D177" t="s">
        <v>271</v>
      </c>
      <c r="E177" t="s">
        <v>287</v>
      </c>
      <c r="F177">
        <v>1431</v>
      </c>
      <c r="G177" t="s">
        <v>732</v>
      </c>
      <c r="H177" t="s">
        <v>733</v>
      </c>
      <c r="I177" t="s">
        <v>603</v>
      </c>
      <c r="J177" t="s">
        <v>734</v>
      </c>
      <c r="K177">
        <v>59.9</v>
      </c>
      <c r="L177" t="s">
        <v>276</v>
      </c>
      <c r="M177">
        <f>Table1[[#This Row],[Sales Volume]]*Table1[[#This Row],[price(USD)]]</f>
        <v>85716.9</v>
      </c>
      <c r="N177" t="s">
        <v>277</v>
      </c>
      <c r="O177" t="s">
        <v>278</v>
      </c>
      <c r="P177" t="str">
        <f>HYPERLINK(Table1[[#This Row],[url]],Table1[[#This Row],[name]])</f>
        <v>POCKET OVERSHIRT</v>
      </c>
      <c r="Q177" t="str">
        <f>IF(Table1[[#This Row],[price(USD)]]&gt;295.33,"Premimum",IF(Table1[[#This Row],[price(USD)]]&gt;151.66,"Mid Range","Budget"))</f>
        <v>Budget</v>
      </c>
      <c r="R177" t="str">
        <f>IF(Table1[[#This Row],[Sales Volume]]&gt;2169,"Best Seller",IF(Table1[[#This Row],[Sales Volume]]&gt;1349,"Average","Slow seller"))</f>
        <v>Average</v>
      </c>
    </row>
    <row r="178" spans="1:18">
      <c r="A178">
        <v>149510</v>
      </c>
      <c r="B178" t="s">
        <v>269</v>
      </c>
      <c r="C178" t="s">
        <v>270</v>
      </c>
      <c r="D178" t="s">
        <v>271</v>
      </c>
      <c r="E178" t="s">
        <v>287</v>
      </c>
      <c r="F178">
        <v>1412</v>
      </c>
      <c r="G178" t="s">
        <v>533</v>
      </c>
      <c r="H178" t="s">
        <v>534</v>
      </c>
      <c r="I178" t="s">
        <v>535</v>
      </c>
      <c r="J178" t="s">
        <v>536</v>
      </c>
      <c r="K178">
        <v>59.9</v>
      </c>
      <c r="L178" t="s">
        <v>276</v>
      </c>
      <c r="M178">
        <f>Table1[[#This Row],[Sales Volume]]*Table1[[#This Row],[price(USD)]]</f>
        <v>84578.8</v>
      </c>
      <c r="N178" t="s">
        <v>277</v>
      </c>
      <c r="O178" t="s">
        <v>278</v>
      </c>
      <c r="P178" t="str">
        <f>HYPERLINK(Table1[[#This Row],[url]],Table1[[#This Row],[name]])</f>
        <v>ZIPPERED JACKET</v>
      </c>
      <c r="Q178" t="str">
        <f>IF(Table1[[#This Row],[price(USD)]]&gt;295.33,"Premimum",IF(Table1[[#This Row],[price(USD)]]&gt;151.66,"Mid Range","Budget"))</f>
        <v>Budget</v>
      </c>
      <c r="R178" t="str">
        <f>IF(Table1[[#This Row],[Sales Volume]]&gt;2169,"Best Seller",IF(Table1[[#This Row],[Sales Volume]]&gt;1349,"Average","Slow seller"))</f>
        <v>Average</v>
      </c>
    </row>
    <row r="179" spans="1:18">
      <c r="A179">
        <v>183574</v>
      </c>
      <c r="B179" t="s">
        <v>269</v>
      </c>
      <c r="C179" t="s">
        <v>287</v>
      </c>
      <c r="D179" t="s">
        <v>271</v>
      </c>
      <c r="E179" t="s">
        <v>287</v>
      </c>
      <c r="F179">
        <v>1752</v>
      </c>
      <c r="G179" t="s">
        <v>1003</v>
      </c>
      <c r="H179" t="s">
        <v>1004</v>
      </c>
      <c r="I179" t="s">
        <v>1005</v>
      </c>
      <c r="J179" t="s">
        <v>1006</v>
      </c>
      <c r="K179">
        <v>47.9</v>
      </c>
      <c r="L179" t="s">
        <v>276</v>
      </c>
      <c r="M179">
        <f>Table1[[#This Row],[Sales Volume]]*Table1[[#This Row],[price(USD)]]</f>
        <v>83920.8</v>
      </c>
      <c r="N179" t="s">
        <v>893</v>
      </c>
      <c r="O179" t="s">
        <v>894</v>
      </c>
      <c r="P179" t="str">
        <f>HYPERLINK(Table1[[#This Row],[url]],Table1[[#This Row],[name]])</f>
        <v>FOIL KNIT CROP SWEATER</v>
      </c>
      <c r="Q179" t="str">
        <f>IF(Table1[[#This Row],[price(USD)]]&gt;295.33,"Premimum",IF(Table1[[#This Row],[price(USD)]]&gt;151.66,"Mid Range","Budget"))</f>
        <v>Budget</v>
      </c>
      <c r="R179" t="str">
        <f>IF(Table1[[#This Row],[Sales Volume]]&gt;2169,"Best Seller",IF(Table1[[#This Row],[Sales Volume]]&gt;1349,"Average","Slow seller"))</f>
        <v>Average</v>
      </c>
    </row>
    <row r="180" spans="1:18">
      <c r="A180">
        <v>118578</v>
      </c>
      <c r="B180" t="s">
        <v>286</v>
      </c>
      <c r="C180" t="s">
        <v>270</v>
      </c>
      <c r="D180" t="s">
        <v>271</v>
      </c>
      <c r="E180" t="s">
        <v>287</v>
      </c>
      <c r="F180">
        <v>1678</v>
      </c>
      <c r="G180" t="s">
        <v>795</v>
      </c>
      <c r="H180" t="s">
        <v>796</v>
      </c>
      <c r="I180" t="s">
        <v>797</v>
      </c>
      <c r="J180" t="s">
        <v>798</v>
      </c>
      <c r="K180">
        <v>49.9</v>
      </c>
      <c r="L180" t="s">
        <v>276</v>
      </c>
      <c r="M180">
        <f>Table1[[#This Row],[Sales Volume]]*Table1[[#This Row],[price(USD)]]</f>
        <v>83732.2</v>
      </c>
      <c r="N180" t="s">
        <v>774</v>
      </c>
      <c r="O180" t="s">
        <v>278</v>
      </c>
      <c r="P180" t="str">
        <f>HYPERLINK(Table1[[#This Row],[url]],Table1[[#This Row],[name]])</f>
        <v>SUEDE STRAP SANDALS</v>
      </c>
      <c r="Q180" t="str">
        <f>IF(Table1[[#This Row],[price(USD)]]&gt;295.33,"Premimum",IF(Table1[[#This Row],[price(USD)]]&gt;151.66,"Mid Range","Budget"))</f>
        <v>Budget</v>
      </c>
      <c r="R180" t="str">
        <f>IF(Table1[[#This Row],[Sales Volume]]&gt;2169,"Best Seller",IF(Table1[[#This Row],[Sales Volume]]&gt;1349,"Average","Slow seller"))</f>
        <v>Average</v>
      </c>
    </row>
    <row r="181" spans="1:18">
      <c r="A181">
        <v>130321</v>
      </c>
      <c r="B181" t="s">
        <v>286</v>
      </c>
      <c r="C181" t="s">
        <v>287</v>
      </c>
      <c r="D181" t="s">
        <v>271</v>
      </c>
      <c r="E181" t="s">
        <v>270</v>
      </c>
      <c r="F181">
        <v>2093</v>
      </c>
      <c r="G181" t="s">
        <v>1153</v>
      </c>
      <c r="H181" t="s">
        <v>1154</v>
      </c>
      <c r="I181" t="s">
        <v>1155</v>
      </c>
      <c r="J181" t="s">
        <v>1156</v>
      </c>
      <c r="K181">
        <v>39.9</v>
      </c>
      <c r="L181" t="s">
        <v>276</v>
      </c>
      <c r="M181">
        <f>Table1[[#This Row],[Sales Volume]]*Table1[[#This Row],[price(USD)]]</f>
        <v>83510.7</v>
      </c>
      <c r="N181" t="s">
        <v>1093</v>
      </c>
      <c r="O181" t="s">
        <v>278</v>
      </c>
      <c r="P181" t="str">
        <f>HYPERLINK(Table1[[#This Row],[url]],Table1[[#This Row],[name]])</f>
        <v>ABSTRACT PRINT KNIT T-SHIRT</v>
      </c>
      <c r="Q181" t="str">
        <f>IF(Table1[[#This Row],[price(USD)]]&gt;295.33,"Premimum",IF(Table1[[#This Row],[price(USD)]]&gt;151.66,"Mid Range","Budget"))</f>
        <v>Budget</v>
      </c>
      <c r="R181" t="str">
        <f>IF(Table1[[#This Row],[Sales Volume]]&gt;2169,"Best Seller",IF(Table1[[#This Row],[Sales Volume]]&gt;1349,"Average","Slow seller"))</f>
        <v>Average</v>
      </c>
    </row>
    <row r="182" spans="1:18">
      <c r="A182">
        <v>147449</v>
      </c>
      <c r="B182" t="s">
        <v>286</v>
      </c>
      <c r="C182" t="s">
        <v>270</v>
      </c>
      <c r="D182" t="s">
        <v>271</v>
      </c>
      <c r="E182" t="s">
        <v>270</v>
      </c>
      <c r="F182">
        <v>1191</v>
      </c>
      <c r="G182" t="s">
        <v>878</v>
      </c>
      <c r="H182" t="s">
        <v>879</v>
      </c>
      <c r="I182" t="s">
        <v>880</v>
      </c>
      <c r="J182" t="s">
        <v>881</v>
      </c>
      <c r="K182">
        <v>69.900000000000006</v>
      </c>
      <c r="L182" t="s">
        <v>276</v>
      </c>
      <c r="M182">
        <f>Table1[[#This Row],[Sales Volume]]*Table1[[#This Row],[price(USD)]]</f>
        <v>83250.900000000009</v>
      </c>
      <c r="N182" t="s">
        <v>774</v>
      </c>
      <c r="O182" t="s">
        <v>278</v>
      </c>
      <c r="P182" t="str">
        <f>HYPERLINK(Table1[[#This Row],[url]],Table1[[#This Row],[name]])</f>
        <v>SUEDE RUNNING SNEAKERS</v>
      </c>
      <c r="Q182" t="str">
        <f>IF(Table1[[#This Row],[price(USD)]]&gt;295.33,"Premimum",IF(Table1[[#This Row],[price(USD)]]&gt;151.66,"Mid Range","Budget"))</f>
        <v>Budget</v>
      </c>
      <c r="R182" t="str">
        <f>IF(Table1[[#This Row],[Sales Volume]]&gt;2169,"Best Seller",IF(Table1[[#This Row],[Sales Volume]]&gt;1349,"Average","Slow seller"))</f>
        <v>Slow seller</v>
      </c>
    </row>
    <row r="183" spans="1:18">
      <c r="A183">
        <v>117065</v>
      </c>
      <c r="B183" t="s">
        <v>269</v>
      </c>
      <c r="C183" t="s">
        <v>287</v>
      </c>
      <c r="D183" t="s">
        <v>271</v>
      </c>
      <c r="E183" t="s">
        <v>287</v>
      </c>
      <c r="F183">
        <v>758</v>
      </c>
      <c r="G183" t="s">
        <v>525</v>
      </c>
      <c r="H183" t="s">
        <v>526</v>
      </c>
      <c r="I183" t="s">
        <v>527</v>
      </c>
      <c r="J183" t="s">
        <v>528</v>
      </c>
      <c r="K183">
        <v>109</v>
      </c>
      <c r="L183" t="s">
        <v>276</v>
      </c>
      <c r="M183">
        <f>Table1[[#This Row],[Sales Volume]]*Table1[[#This Row],[price(USD)]]</f>
        <v>82622</v>
      </c>
      <c r="N183" t="s">
        <v>277</v>
      </c>
      <c r="O183" t="s">
        <v>278</v>
      </c>
      <c r="P183" t="str">
        <f>HYPERLINK(Table1[[#This Row],[url]],Table1[[#This Row],[name]])</f>
        <v>COTTON - LINEN BLEND JACKET</v>
      </c>
      <c r="Q183" t="str">
        <f>IF(Table1[[#This Row],[price(USD)]]&gt;295.33,"Premimum",IF(Table1[[#This Row],[price(USD)]]&gt;151.66,"Mid Range","Budget"))</f>
        <v>Budget</v>
      </c>
      <c r="R183" t="str">
        <f>IF(Table1[[#This Row],[Sales Volume]]&gt;2169,"Best Seller",IF(Table1[[#This Row],[Sales Volume]]&gt;1349,"Average","Slow seller"))</f>
        <v>Slow seller</v>
      </c>
    </row>
    <row r="184" spans="1:18">
      <c r="A184">
        <v>140727</v>
      </c>
      <c r="B184" t="s">
        <v>286</v>
      </c>
      <c r="C184" t="s">
        <v>287</v>
      </c>
      <c r="D184" t="s">
        <v>271</v>
      </c>
      <c r="E184" t="s">
        <v>287</v>
      </c>
      <c r="F184">
        <v>1002</v>
      </c>
      <c r="G184" t="s">
        <v>435</v>
      </c>
      <c r="H184" t="s">
        <v>436</v>
      </c>
      <c r="I184" t="s">
        <v>305</v>
      </c>
      <c r="J184" t="s">
        <v>437</v>
      </c>
      <c r="K184">
        <v>79.900000000000006</v>
      </c>
      <c r="L184" t="s">
        <v>276</v>
      </c>
      <c r="M184">
        <f>Table1[[#This Row],[Sales Volume]]*Table1[[#This Row],[price(USD)]]</f>
        <v>80059.8</v>
      </c>
      <c r="N184" t="s">
        <v>277</v>
      </c>
      <c r="O184" t="s">
        <v>278</v>
      </c>
      <c r="P184" t="str">
        <f>HYPERLINK(Table1[[#This Row],[url]],Table1[[#This Row],[name]])</f>
        <v>CONTRASTING COLLAR JACKET</v>
      </c>
      <c r="Q184" t="str">
        <f>IF(Table1[[#This Row],[price(USD)]]&gt;295.33,"Premimum",IF(Table1[[#This Row],[price(USD)]]&gt;151.66,"Mid Range","Budget"))</f>
        <v>Budget</v>
      </c>
      <c r="R184" t="str">
        <f>IF(Table1[[#This Row],[Sales Volume]]&gt;2169,"Best Seller",IF(Table1[[#This Row],[Sales Volume]]&gt;1349,"Average","Slow seller"))</f>
        <v>Slow seller</v>
      </c>
    </row>
    <row r="185" spans="1:18">
      <c r="A185">
        <v>151438</v>
      </c>
      <c r="B185" t="s">
        <v>269</v>
      </c>
      <c r="C185" t="s">
        <v>270</v>
      </c>
      <c r="D185" t="s">
        <v>271</v>
      </c>
      <c r="E185" t="s">
        <v>287</v>
      </c>
      <c r="F185">
        <v>1137</v>
      </c>
      <c r="G185" t="s">
        <v>715</v>
      </c>
      <c r="H185" t="s">
        <v>716</v>
      </c>
      <c r="I185" t="s">
        <v>695</v>
      </c>
      <c r="J185" t="s">
        <v>717</v>
      </c>
      <c r="K185">
        <v>69.900000000000006</v>
      </c>
      <c r="L185" t="s">
        <v>276</v>
      </c>
      <c r="M185">
        <f>Table1[[#This Row],[Sales Volume]]*Table1[[#This Row],[price(USD)]]</f>
        <v>79476.3</v>
      </c>
      <c r="N185" t="s">
        <v>277</v>
      </c>
      <c r="O185" t="s">
        <v>278</v>
      </c>
      <c r="P185" t="str">
        <f>HYPERLINK(Table1[[#This Row],[url]],Table1[[#This Row],[name]])</f>
        <v>PLAID OVERSHIRT</v>
      </c>
      <c r="Q185" t="str">
        <f>IF(Table1[[#This Row],[price(USD)]]&gt;295.33,"Premimum",IF(Table1[[#This Row],[price(USD)]]&gt;151.66,"Mid Range","Budget"))</f>
        <v>Budget</v>
      </c>
      <c r="R185" t="str">
        <f>IF(Table1[[#This Row],[Sales Volume]]&gt;2169,"Best Seller",IF(Table1[[#This Row],[Sales Volume]]&gt;1349,"Average","Slow seller"))</f>
        <v>Slow seller</v>
      </c>
    </row>
    <row r="186" spans="1:18">
      <c r="A186">
        <v>122809</v>
      </c>
      <c r="B186" t="s">
        <v>286</v>
      </c>
      <c r="C186" t="s">
        <v>270</v>
      </c>
      <c r="D186" t="s">
        <v>271</v>
      </c>
      <c r="E186" t="s">
        <v>287</v>
      </c>
      <c r="F186">
        <v>1592</v>
      </c>
      <c r="G186" t="s">
        <v>939</v>
      </c>
      <c r="H186" t="s">
        <v>940</v>
      </c>
      <c r="I186" t="s">
        <v>941</v>
      </c>
      <c r="J186" t="s">
        <v>942</v>
      </c>
      <c r="K186">
        <v>49.9</v>
      </c>
      <c r="L186" t="s">
        <v>276</v>
      </c>
      <c r="M186">
        <f>Table1[[#This Row],[Sales Volume]]*Table1[[#This Row],[price(USD)]]</f>
        <v>79440.800000000003</v>
      </c>
      <c r="N186" t="s">
        <v>893</v>
      </c>
      <c r="O186" t="s">
        <v>894</v>
      </c>
      <c r="P186" t="str">
        <f>HYPERLINK(Table1[[#This Row],[url]],Table1[[#This Row],[name]])</f>
        <v>WOOL BLEND KNIT SWEATER</v>
      </c>
      <c r="Q186" t="str">
        <f>IF(Table1[[#This Row],[price(USD)]]&gt;295.33,"Premimum",IF(Table1[[#This Row],[price(USD)]]&gt;151.66,"Mid Range","Budget"))</f>
        <v>Budget</v>
      </c>
      <c r="R186" t="str">
        <f>IF(Table1[[#This Row],[Sales Volume]]&gt;2169,"Best Seller",IF(Table1[[#This Row],[Sales Volume]]&gt;1349,"Average","Slow seller"))</f>
        <v>Average</v>
      </c>
    </row>
    <row r="187" spans="1:18">
      <c r="A187">
        <v>166345</v>
      </c>
      <c r="B187" t="s">
        <v>269</v>
      </c>
      <c r="C187" t="s">
        <v>270</v>
      </c>
      <c r="D187" t="s">
        <v>271</v>
      </c>
      <c r="E187" t="s">
        <v>287</v>
      </c>
      <c r="F187">
        <v>1135</v>
      </c>
      <c r="G187" t="s">
        <v>621</v>
      </c>
      <c r="H187" t="s">
        <v>622</v>
      </c>
      <c r="I187" t="s">
        <v>623</v>
      </c>
      <c r="J187" t="s">
        <v>624</v>
      </c>
      <c r="K187">
        <v>69.900000000000006</v>
      </c>
      <c r="L187" t="s">
        <v>276</v>
      </c>
      <c r="M187">
        <f>Table1[[#This Row],[Sales Volume]]*Table1[[#This Row],[price(USD)]]</f>
        <v>79336.5</v>
      </c>
      <c r="N187" t="s">
        <v>277</v>
      </c>
      <c r="O187" t="s">
        <v>278</v>
      </c>
      <c r="P187" t="str">
        <f>HYPERLINK(Table1[[#This Row],[url]],Table1[[#This Row],[name]])</f>
        <v>HOODED KNIT CARDIGAN</v>
      </c>
      <c r="Q187" t="str">
        <f>IF(Table1[[#This Row],[price(USD)]]&gt;295.33,"Premimum",IF(Table1[[#This Row],[price(USD)]]&gt;151.66,"Mid Range","Budget"))</f>
        <v>Budget</v>
      </c>
      <c r="R187" t="str">
        <f>IF(Table1[[#This Row],[Sales Volume]]&gt;2169,"Best Seller",IF(Table1[[#This Row],[Sales Volume]]&gt;1349,"Average","Slow seller"))</f>
        <v>Slow seller</v>
      </c>
    </row>
    <row r="188" spans="1:18">
      <c r="A188">
        <v>182099</v>
      </c>
      <c r="B188" t="s">
        <v>269</v>
      </c>
      <c r="C188" t="s">
        <v>287</v>
      </c>
      <c r="D188" t="s">
        <v>271</v>
      </c>
      <c r="E188" t="s">
        <v>270</v>
      </c>
      <c r="F188">
        <v>1978</v>
      </c>
      <c r="G188" t="s">
        <v>1118</v>
      </c>
      <c r="H188" t="s">
        <v>1119</v>
      </c>
      <c r="I188" t="s">
        <v>1120</v>
      </c>
      <c r="J188" t="s">
        <v>1121</v>
      </c>
      <c r="K188">
        <v>39.9</v>
      </c>
      <c r="L188" t="s">
        <v>276</v>
      </c>
      <c r="M188">
        <f>Table1[[#This Row],[Sales Volume]]*Table1[[#This Row],[price(USD)]]</f>
        <v>78922.2</v>
      </c>
      <c r="N188" t="s">
        <v>1093</v>
      </c>
      <c r="O188" t="s">
        <v>278</v>
      </c>
      <c r="P188" t="str">
        <f>HYPERLINK(Table1[[#This Row],[url]],Table1[[#This Row],[name]])</f>
        <v>OVERSIZE FIT T-SHIRT</v>
      </c>
      <c r="Q188" t="str">
        <f>IF(Table1[[#This Row],[price(USD)]]&gt;295.33,"Premimum",IF(Table1[[#This Row],[price(USD)]]&gt;151.66,"Mid Range","Budget"))</f>
        <v>Budget</v>
      </c>
      <c r="R188" t="str">
        <f>IF(Table1[[#This Row],[Sales Volume]]&gt;2169,"Best Seller",IF(Table1[[#This Row],[Sales Volume]]&gt;1349,"Average","Slow seller"))</f>
        <v>Average</v>
      </c>
    </row>
    <row r="189" spans="1:18">
      <c r="A189">
        <v>149315</v>
      </c>
      <c r="B189" t="s">
        <v>286</v>
      </c>
      <c r="C189" t="s">
        <v>287</v>
      </c>
      <c r="D189" t="s">
        <v>271</v>
      </c>
      <c r="E189" t="s">
        <v>270</v>
      </c>
      <c r="F189">
        <v>718</v>
      </c>
      <c r="G189" t="s">
        <v>529</v>
      </c>
      <c r="H189" t="s">
        <v>530</v>
      </c>
      <c r="I189" t="s">
        <v>531</v>
      </c>
      <c r="J189" t="s">
        <v>532</v>
      </c>
      <c r="K189">
        <v>109</v>
      </c>
      <c r="L189" t="s">
        <v>276</v>
      </c>
      <c r="M189">
        <f>Table1[[#This Row],[Sales Volume]]*Table1[[#This Row],[price(USD)]]</f>
        <v>78262</v>
      </c>
      <c r="N189" t="s">
        <v>277</v>
      </c>
      <c r="O189" t="s">
        <v>278</v>
      </c>
      <c r="P189" t="str">
        <f>HYPERLINK(Table1[[#This Row],[url]],Table1[[#This Row],[name]])</f>
        <v>FLEECE BOMBER JACKET</v>
      </c>
      <c r="Q189" t="str">
        <f>IF(Table1[[#This Row],[price(USD)]]&gt;295.33,"Premimum",IF(Table1[[#This Row],[price(USD)]]&gt;151.66,"Mid Range","Budget"))</f>
        <v>Budget</v>
      </c>
      <c r="R189" t="str">
        <f>IF(Table1[[#This Row],[Sales Volume]]&gt;2169,"Best Seller",IF(Table1[[#This Row],[Sales Volume]]&gt;1349,"Average","Slow seller"))</f>
        <v>Slow seller</v>
      </c>
    </row>
    <row r="190" spans="1:18">
      <c r="A190">
        <v>186638</v>
      </c>
      <c r="B190" t="s">
        <v>286</v>
      </c>
      <c r="C190" t="s">
        <v>287</v>
      </c>
      <c r="D190" t="s">
        <v>271</v>
      </c>
      <c r="E190" t="s">
        <v>270</v>
      </c>
      <c r="F190">
        <v>1296</v>
      </c>
      <c r="G190" t="s">
        <v>787</v>
      </c>
      <c r="H190" t="s">
        <v>788</v>
      </c>
      <c r="I190" t="s">
        <v>789</v>
      </c>
      <c r="J190" t="s">
        <v>790</v>
      </c>
      <c r="K190">
        <v>59.9</v>
      </c>
      <c r="L190" t="s">
        <v>276</v>
      </c>
      <c r="M190">
        <f>Table1[[#This Row],[Sales Volume]]*Table1[[#This Row],[price(USD)]]</f>
        <v>77630.399999999994</v>
      </c>
      <c r="N190" t="s">
        <v>774</v>
      </c>
      <c r="O190" t="s">
        <v>278</v>
      </c>
      <c r="P190" t="str">
        <f>HYPERLINK(Table1[[#This Row],[url]],Table1[[#This Row],[name]])</f>
        <v>RETRO RUNNING SNEAKERS</v>
      </c>
      <c r="Q190" t="str">
        <f>IF(Table1[[#This Row],[price(USD)]]&gt;295.33,"Premimum",IF(Table1[[#This Row],[price(USD)]]&gt;151.66,"Mid Range","Budget"))</f>
        <v>Budget</v>
      </c>
      <c r="R190" t="str">
        <f>IF(Table1[[#This Row],[Sales Volume]]&gt;2169,"Best Seller",IF(Table1[[#This Row],[Sales Volume]]&gt;1349,"Average","Slow seller"))</f>
        <v>Slow seller</v>
      </c>
    </row>
    <row r="191" spans="1:18">
      <c r="A191">
        <v>183634</v>
      </c>
      <c r="B191" t="s">
        <v>307</v>
      </c>
      <c r="C191" t="s">
        <v>287</v>
      </c>
      <c r="D191" t="s">
        <v>271</v>
      </c>
      <c r="E191" t="s">
        <v>287</v>
      </c>
      <c r="F191">
        <v>2778</v>
      </c>
      <c r="G191" t="s">
        <v>995</v>
      </c>
      <c r="H191" t="s">
        <v>996</v>
      </c>
      <c r="I191" t="s">
        <v>997</v>
      </c>
      <c r="J191" t="s">
        <v>998</v>
      </c>
      <c r="K191">
        <v>27.9</v>
      </c>
      <c r="L191" t="s">
        <v>276</v>
      </c>
      <c r="M191">
        <f>Table1[[#This Row],[Sales Volume]]*Table1[[#This Row],[price(USD)]]</f>
        <v>77506.2</v>
      </c>
      <c r="N191" t="s">
        <v>893</v>
      </c>
      <c r="O191" t="s">
        <v>894</v>
      </c>
      <c r="P191" t="str">
        <f>HYPERLINK(Table1[[#This Row],[url]],Table1[[#This Row],[name]])</f>
        <v>BASIC KNIT SWEATER</v>
      </c>
      <c r="Q191" t="str">
        <f>IF(Table1[[#This Row],[price(USD)]]&gt;295.33,"Premimum",IF(Table1[[#This Row],[price(USD)]]&gt;151.66,"Mid Range","Budget"))</f>
        <v>Budget</v>
      </c>
      <c r="R191" t="str">
        <f>IF(Table1[[#This Row],[Sales Volume]]&gt;2169,"Best Seller",IF(Table1[[#This Row],[Sales Volume]]&gt;1349,"Average","Slow seller"))</f>
        <v>Best Seller</v>
      </c>
    </row>
    <row r="192" spans="1:18">
      <c r="A192">
        <v>171860</v>
      </c>
      <c r="B192" t="s">
        <v>269</v>
      </c>
      <c r="C192" t="s">
        <v>287</v>
      </c>
      <c r="D192" t="s">
        <v>271</v>
      </c>
      <c r="E192" t="s">
        <v>270</v>
      </c>
      <c r="F192">
        <v>707</v>
      </c>
      <c r="G192" t="s">
        <v>975</v>
      </c>
      <c r="H192" t="s">
        <v>733</v>
      </c>
      <c r="I192" t="s">
        <v>369</v>
      </c>
      <c r="J192" t="s">
        <v>588</v>
      </c>
      <c r="K192">
        <v>109</v>
      </c>
      <c r="L192" t="s">
        <v>276</v>
      </c>
      <c r="M192">
        <f>Table1[[#This Row],[Sales Volume]]*Table1[[#This Row],[price(USD)]]</f>
        <v>77063</v>
      </c>
      <c r="N192" t="s">
        <v>1093</v>
      </c>
      <c r="O192" t="s">
        <v>278</v>
      </c>
      <c r="P192" t="str">
        <f>HYPERLINK(Table1[[#This Row],[url]],Table1[[#This Row],[name]])</f>
        <v>PADDED DENIM JACKET</v>
      </c>
      <c r="Q192" t="str">
        <f>IF(Table1[[#This Row],[price(USD)]]&gt;295.33,"Premimum",IF(Table1[[#This Row],[price(USD)]]&gt;151.66,"Mid Range","Budget"))</f>
        <v>Budget</v>
      </c>
      <c r="R192" t="str">
        <f>IF(Table1[[#This Row],[Sales Volume]]&gt;2169,"Best Seller",IF(Table1[[#This Row],[Sales Volume]]&gt;1349,"Average","Slow seller"))</f>
        <v>Slow seller</v>
      </c>
    </row>
    <row r="193" spans="1:18">
      <c r="A193">
        <v>118719</v>
      </c>
      <c r="B193" t="s">
        <v>286</v>
      </c>
      <c r="C193" t="s">
        <v>270</v>
      </c>
      <c r="D193" t="s">
        <v>271</v>
      </c>
      <c r="E193" t="s">
        <v>287</v>
      </c>
      <c r="F193">
        <v>1669</v>
      </c>
      <c r="G193" t="s">
        <v>1011</v>
      </c>
      <c r="H193" t="s">
        <v>1012</v>
      </c>
      <c r="I193" t="s">
        <v>1013</v>
      </c>
      <c r="J193" t="s">
        <v>1014</v>
      </c>
      <c r="K193">
        <v>45.9</v>
      </c>
      <c r="L193" t="s">
        <v>276</v>
      </c>
      <c r="M193">
        <f>Table1[[#This Row],[Sales Volume]]*Table1[[#This Row],[price(USD)]]</f>
        <v>76607.099999999991</v>
      </c>
      <c r="N193" t="s">
        <v>893</v>
      </c>
      <c r="O193" t="s">
        <v>894</v>
      </c>
      <c r="P193" t="str">
        <f>HYPERLINK(Table1[[#This Row],[url]],Table1[[#This Row],[name]])</f>
        <v>COLORBLOCK KNIT CROP SWEATER</v>
      </c>
      <c r="Q193" t="str">
        <f>IF(Table1[[#This Row],[price(USD)]]&gt;295.33,"Premimum",IF(Table1[[#This Row],[price(USD)]]&gt;151.66,"Mid Range","Budget"))</f>
        <v>Budget</v>
      </c>
      <c r="R193" t="str">
        <f>IF(Table1[[#This Row],[Sales Volume]]&gt;2169,"Best Seller",IF(Table1[[#This Row],[Sales Volume]]&gt;1349,"Average","Slow seller"))</f>
        <v>Average</v>
      </c>
    </row>
    <row r="194" spans="1:18">
      <c r="A194">
        <v>165786</v>
      </c>
      <c r="B194" t="s">
        <v>286</v>
      </c>
      <c r="C194" t="s">
        <v>270</v>
      </c>
      <c r="D194" t="s">
        <v>271</v>
      </c>
      <c r="E194" t="s">
        <v>287</v>
      </c>
      <c r="F194">
        <v>1278</v>
      </c>
      <c r="G194" t="s">
        <v>1081</v>
      </c>
      <c r="H194" t="s">
        <v>1082</v>
      </c>
      <c r="I194" t="s">
        <v>1083</v>
      </c>
      <c r="J194" t="s">
        <v>1084</v>
      </c>
      <c r="K194">
        <v>59.9</v>
      </c>
      <c r="L194" t="s">
        <v>276</v>
      </c>
      <c r="M194">
        <f>Table1[[#This Row],[Sales Volume]]*Table1[[#This Row],[price(USD)]]</f>
        <v>76552.2</v>
      </c>
      <c r="N194" t="s">
        <v>893</v>
      </c>
      <c r="O194" t="s">
        <v>278</v>
      </c>
      <c r="P194" t="str">
        <f>HYPERLINK(Table1[[#This Row],[url]],Table1[[#This Row],[name]])</f>
        <v>CONTRAST INTERIOR SWEATER</v>
      </c>
      <c r="Q194" t="str">
        <f>IF(Table1[[#This Row],[price(USD)]]&gt;295.33,"Premimum",IF(Table1[[#This Row],[price(USD)]]&gt;151.66,"Mid Range","Budget"))</f>
        <v>Budget</v>
      </c>
      <c r="R194" t="str">
        <f>IF(Table1[[#This Row],[Sales Volume]]&gt;2169,"Best Seller",IF(Table1[[#This Row],[Sales Volume]]&gt;1349,"Average","Slow seller"))</f>
        <v>Slow seller</v>
      </c>
    </row>
    <row r="195" spans="1:18">
      <c r="A195">
        <v>139789</v>
      </c>
      <c r="B195" t="s">
        <v>269</v>
      </c>
      <c r="C195" t="s">
        <v>270</v>
      </c>
      <c r="D195" t="s">
        <v>271</v>
      </c>
      <c r="E195" t="s">
        <v>287</v>
      </c>
      <c r="F195">
        <v>1094</v>
      </c>
      <c r="G195" t="s">
        <v>915</v>
      </c>
      <c r="H195" t="s">
        <v>916</v>
      </c>
      <c r="I195" t="s">
        <v>917</v>
      </c>
      <c r="J195" t="s">
        <v>918</v>
      </c>
      <c r="K195">
        <v>69.900000000000006</v>
      </c>
      <c r="L195" t="s">
        <v>276</v>
      </c>
      <c r="M195">
        <f>Table1[[#This Row],[Sales Volume]]*Table1[[#This Row],[price(USD)]]</f>
        <v>76470.600000000006</v>
      </c>
      <c r="N195" t="s">
        <v>893</v>
      </c>
      <c r="O195" t="s">
        <v>894</v>
      </c>
      <c r="P195" t="str">
        <f>HYPERLINK(Table1[[#This Row],[url]],Table1[[#This Row],[name]])</f>
        <v>WOOL AND CASHMERE BLEND RIB SWEATER</v>
      </c>
      <c r="Q195" t="str">
        <f>IF(Table1[[#This Row],[price(USD)]]&gt;295.33,"Premimum",IF(Table1[[#This Row],[price(USD)]]&gt;151.66,"Mid Range","Budget"))</f>
        <v>Budget</v>
      </c>
      <c r="R195" t="str">
        <f>IF(Table1[[#This Row],[Sales Volume]]&gt;2169,"Best Seller",IF(Table1[[#This Row],[Sales Volume]]&gt;1349,"Average","Slow seller"))</f>
        <v>Slow seller</v>
      </c>
    </row>
    <row r="196" spans="1:18">
      <c r="A196">
        <v>141330</v>
      </c>
      <c r="B196" t="s">
        <v>269</v>
      </c>
      <c r="C196" t="s">
        <v>270</v>
      </c>
      <c r="D196" t="s">
        <v>271</v>
      </c>
      <c r="E196" t="s">
        <v>287</v>
      </c>
      <c r="F196">
        <v>1915</v>
      </c>
      <c r="G196" t="s">
        <v>1134</v>
      </c>
      <c r="H196" t="s">
        <v>1135</v>
      </c>
      <c r="I196" t="s">
        <v>1136</v>
      </c>
      <c r="J196" t="s">
        <v>1137</v>
      </c>
      <c r="K196">
        <v>39.9</v>
      </c>
      <c r="L196" t="s">
        <v>276</v>
      </c>
      <c r="M196">
        <f>Table1[[#This Row],[Sales Volume]]*Table1[[#This Row],[price(USD)]]</f>
        <v>76408.5</v>
      </c>
      <c r="N196" t="s">
        <v>1093</v>
      </c>
      <c r="O196" t="s">
        <v>278</v>
      </c>
      <c r="P196" t="str">
        <f>HYPERLINK(Table1[[#This Row],[url]],Table1[[#This Row],[name]])</f>
        <v>RAISED TEXT T-SHIRT LIMITED EDITION</v>
      </c>
      <c r="Q196" t="str">
        <f>IF(Table1[[#This Row],[price(USD)]]&gt;295.33,"Premimum",IF(Table1[[#This Row],[price(USD)]]&gt;151.66,"Mid Range","Budget"))</f>
        <v>Budget</v>
      </c>
      <c r="R196" t="str">
        <f>IF(Table1[[#This Row],[Sales Volume]]&gt;2169,"Best Seller",IF(Table1[[#This Row],[Sales Volume]]&gt;1349,"Average","Slow seller"))</f>
        <v>Average</v>
      </c>
    </row>
    <row r="197" spans="1:18">
      <c r="A197">
        <v>182779</v>
      </c>
      <c r="B197" t="s">
        <v>286</v>
      </c>
      <c r="C197" t="s">
        <v>287</v>
      </c>
      <c r="D197" t="s">
        <v>271</v>
      </c>
      <c r="E197" t="s">
        <v>287</v>
      </c>
      <c r="F197">
        <v>2097</v>
      </c>
      <c r="G197" t="s">
        <v>947</v>
      </c>
      <c r="H197" t="s">
        <v>948</v>
      </c>
      <c r="I197" t="s">
        <v>949</v>
      </c>
      <c r="J197" t="s">
        <v>950</v>
      </c>
      <c r="K197">
        <v>35.9</v>
      </c>
      <c r="L197" t="s">
        <v>276</v>
      </c>
      <c r="M197">
        <f>Table1[[#This Row],[Sales Volume]]*Table1[[#This Row],[price(USD)]]</f>
        <v>75282.3</v>
      </c>
      <c r="N197" t="s">
        <v>893</v>
      </c>
      <c r="O197" t="s">
        <v>894</v>
      </c>
      <c r="P197" t="str">
        <f>HYPERLINK(Table1[[#This Row],[url]],Table1[[#This Row],[name]])</f>
        <v>FAUX FUR JEWEL SWEATER</v>
      </c>
      <c r="Q197" t="str">
        <f>IF(Table1[[#This Row],[price(USD)]]&gt;295.33,"Premimum",IF(Table1[[#This Row],[price(USD)]]&gt;151.66,"Mid Range","Budget"))</f>
        <v>Budget</v>
      </c>
      <c r="R197" t="str">
        <f>IF(Table1[[#This Row],[Sales Volume]]&gt;2169,"Best Seller",IF(Table1[[#This Row],[Sales Volume]]&gt;1349,"Average","Slow seller"))</f>
        <v>Average</v>
      </c>
    </row>
    <row r="198" spans="1:18">
      <c r="A198">
        <v>129898</v>
      </c>
      <c r="B198" t="s">
        <v>286</v>
      </c>
      <c r="C198" t="s">
        <v>270</v>
      </c>
      <c r="D198" t="s">
        <v>271</v>
      </c>
      <c r="E198" t="s">
        <v>270</v>
      </c>
      <c r="F198">
        <v>1866</v>
      </c>
      <c r="G198" t="s">
        <v>1102</v>
      </c>
      <c r="H198" t="s">
        <v>1103</v>
      </c>
      <c r="I198" t="s">
        <v>1104</v>
      </c>
      <c r="J198" t="s">
        <v>1105</v>
      </c>
      <c r="K198">
        <v>39.9</v>
      </c>
      <c r="L198" t="s">
        <v>276</v>
      </c>
      <c r="M198">
        <f>Table1[[#This Row],[Sales Volume]]*Table1[[#This Row],[price(USD)]]</f>
        <v>74453.399999999994</v>
      </c>
      <c r="N198" t="s">
        <v>1093</v>
      </c>
      <c r="O198" t="s">
        <v>278</v>
      </c>
      <c r="P198" t="str">
        <f>HYPERLINK(Table1[[#This Row],[url]],Table1[[#This Row],[name]])</f>
        <v>HEART PRINT T-SHIRT</v>
      </c>
      <c r="Q198" t="str">
        <f>IF(Table1[[#This Row],[price(USD)]]&gt;295.33,"Premimum",IF(Table1[[#This Row],[price(USD)]]&gt;151.66,"Mid Range","Budget"))</f>
        <v>Budget</v>
      </c>
      <c r="R198" t="str">
        <f>IF(Table1[[#This Row],[Sales Volume]]&gt;2169,"Best Seller",IF(Table1[[#This Row],[Sales Volume]]&gt;1349,"Average","Slow seller"))</f>
        <v>Average</v>
      </c>
    </row>
    <row r="199" spans="1:18">
      <c r="A199">
        <v>153997</v>
      </c>
      <c r="B199" t="s">
        <v>286</v>
      </c>
      <c r="C199" t="s">
        <v>270</v>
      </c>
      <c r="D199" t="s">
        <v>271</v>
      </c>
      <c r="E199" t="s">
        <v>287</v>
      </c>
      <c r="F199">
        <v>1608</v>
      </c>
      <c r="G199" t="s">
        <v>1023</v>
      </c>
      <c r="H199" t="s">
        <v>1024</v>
      </c>
      <c r="I199" t="s">
        <v>1025</v>
      </c>
      <c r="J199" t="s">
        <v>1026</v>
      </c>
      <c r="K199">
        <v>45.9</v>
      </c>
      <c r="L199" t="s">
        <v>276</v>
      </c>
      <c r="M199">
        <f>Table1[[#This Row],[Sales Volume]]*Table1[[#This Row],[price(USD)]]</f>
        <v>73807.199999999997</v>
      </c>
      <c r="N199" t="s">
        <v>893</v>
      </c>
      <c r="O199" t="s">
        <v>894</v>
      </c>
      <c r="P199" t="str">
        <f>HYPERLINK(Table1[[#This Row],[url]],Table1[[#This Row],[name]])</f>
        <v>KNIT PEARL SWEATER</v>
      </c>
      <c r="Q199" t="str">
        <f>IF(Table1[[#This Row],[price(USD)]]&gt;295.33,"Premimum",IF(Table1[[#This Row],[price(USD)]]&gt;151.66,"Mid Range","Budget"))</f>
        <v>Budget</v>
      </c>
      <c r="R199" t="str">
        <f>IF(Table1[[#This Row],[Sales Volume]]&gt;2169,"Best Seller",IF(Table1[[#This Row],[Sales Volume]]&gt;1349,"Average","Slow seller"))</f>
        <v>Average</v>
      </c>
    </row>
    <row r="200" spans="1:18">
      <c r="A200">
        <v>135036</v>
      </c>
      <c r="B200" t="s">
        <v>286</v>
      </c>
      <c r="C200" t="s">
        <v>287</v>
      </c>
      <c r="D200" t="s">
        <v>271</v>
      </c>
      <c r="E200" t="s">
        <v>270</v>
      </c>
      <c r="F200">
        <v>1435</v>
      </c>
      <c r="G200" t="s">
        <v>907</v>
      </c>
      <c r="H200" t="s">
        <v>908</v>
      </c>
      <c r="I200" t="s">
        <v>909</v>
      </c>
      <c r="J200" t="s">
        <v>910</v>
      </c>
      <c r="K200">
        <v>49.9</v>
      </c>
      <c r="L200" t="s">
        <v>276</v>
      </c>
      <c r="M200">
        <f>Table1[[#This Row],[Sales Volume]]*Table1[[#This Row],[price(USD)]]</f>
        <v>71606.5</v>
      </c>
      <c r="N200" t="s">
        <v>893</v>
      </c>
      <c r="O200" t="s">
        <v>894</v>
      </c>
      <c r="P200" t="str">
        <f>HYPERLINK(Table1[[#This Row],[url]],Table1[[#This Row],[name]])</f>
        <v>CABLE KNIT METALLIC SWEATER</v>
      </c>
      <c r="Q200" t="str">
        <f>IF(Table1[[#This Row],[price(USD)]]&gt;295.33,"Premimum",IF(Table1[[#This Row],[price(USD)]]&gt;151.66,"Mid Range","Budget"))</f>
        <v>Budget</v>
      </c>
      <c r="R200" t="str">
        <f>IF(Table1[[#This Row],[Sales Volume]]&gt;2169,"Best Seller",IF(Table1[[#This Row],[Sales Volume]]&gt;1349,"Average","Slow seller"))</f>
        <v>Average</v>
      </c>
    </row>
    <row r="201" spans="1:18">
      <c r="A201">
        <v>187180</v>
      </c>
      <c r="B201" t="s">
        <v>307</v>
      </c>
      <c r="C201" t="s">
        <v>270</v>
      </c>
      <c r="D201" t="s">
        <v>271</v>
      </c>
      <c r="E201" t="s">
        <v>287</v>
      </c>
      <c r="F201">
        <v>647</v>
      </c>
      <c r="G201" t="s">
        <v>636</v>
      </c>
      <c r="H201" t="s">
        <v>637</v>
      </c>
      <c r="I201" t="s">
        <v>627</v>
      </c>
      <c r="J201" t="s">
        <v>638</v>
      </c>
      <c r="K201">
        <v>109</v>
      </c>
      <c r="L201" t="s">
        <v>276</v>
      </c>
      <c r="M201">
        <f>Table1[[#This Row],[Sales Volume]]*Table1[[#This Row],[price(USD)]]</f>
        <v>70523</v>
      </c>
      <c r="N201" t="s">
        <v>277</v>
      </c>
      <c r="O201" t="s">
        <v>278</v>
      </c>
      <c r="P201" t="str">
        <f>HYPERLINK(Table1[[#This Row],[url]],Table1[[#This Row],[name]])</f>
        <v>HOODED TECHNICAL JACKET</v>
      </c>
      <c r="Q201" t="str">
        <f>IF(Table1[[#This Row],[price(USD)]]&gt;295.33,"Premimum",IF(Table1[[#This Row],[price(USD)]]&gt;151.66,"Mid Range","Budget"))</f>
        <v>Budget</v>
      </c>
      <c r="R201" t="str">
        <f>IF(Table1[[#This Row],[Sales Volume]]&gt;2169,"Best Seller",IF(Table1[[#This Row],[Sales Volume]]&gt;1349,"Average","Slow seller"))</f>
        <v>Slow seller</v>
      </c>
    </row>
    <row r="202" spans="1:18">
      <c r="A202">
        <v>127644</v>
      </c>
      <c r="B202" t="s">
        <v>307</v>
      </c>
      <c r="C202" t="s">
        <v>270</v>
      </c>
      <c r="D202" t="s">
        <v>271</v>
      </c>
      <c r="E202" t="s">
        <v>287</v>
      </c>
      <c r="F202">
        <v>1498</v>
      </c>
      <c r="G202" t="s">
        <v>803</v>
      </c>
      <c r="H202" t="s">
        <v>804</v>
      </c>
      <c r="I202" t="s">
        <v>805</v>
      </c>
      <c r="J202" t="s">
        <v>806</v>
      </c>
      <c r="K202">
        <v>45.9</v>
      </c>
      <c r="L202" t="s">
        <v>276</v>
      </c>
      <c r="M202">
        <f>Table1[[#This Row],[Sales Volume]]*Table1[[#This Row],[price(USD)]]</f>
        <v>68758.2</v>
      </c>
      <c r="N202" t="s">
        <v>774</v>
      </c>
      <c r="O202" t="s">
        <v>278</v>
      </c>
      <c r="P202" t="str">
        <f>HYPERLINK(Table1[[#This Row],[url]],Table1[[#This Row],[name]])</f>
        <v>TOPSTITCH SNEAKERS</v>
      </c>
      <c r="Q202" t="str">
        <f>IF(Table1[[#This Row],[price(USD)]]&gt;295.33,"Premimum",IF(Table1[[#This Row],[price(USD)]]&gt;151.66,"Mid Range","Budget"))</f>
        <v>Budget</v>
      </c>
      <c r="R202" t="str">
        <f>IF(Table1[[#This Row],[Sales Volume]]&gt;2169,"Best Seller",IF(Table1[[#This Row],[Sales Volume]]&gt;1349,"Average","Slow seller"))</f>
        <v>Average</v>
      </c>
    </row>
    <row r="203" spans="1:18">
      <c r="A203">
        <v>198329</v>
      </c>
      <c r="B203" t="s">
        <v>307</v>
      </c>
      <c r="C203" t="s">
        <v>287</v>
      </c>
      <c r="D203" t="s">
        <v>271</v>
      </c>
      <c r="E203" t="s">
        <v>287</v>
      </c>
      <c r="F203">
        <v>628</v>
      </c>
      <c r="G203" t="s">
        <v>661</v>
      </c>
      <c r="H203" t="s">
        <v>662</v>
      </c>
      <c r="I203" t="s">
        <v>663</v>
      </c>
      <c r="J203" t="s">
        <v>664</v>
      </c>
      <c r="K203">
        <v>109</v>
      </c>
      <c r="L203" t="s">
        <v>276</v>
      </c>
      <c r="M203">
        <f>Table1[[#This Row],[Sales Volume]]*Table1[[#This Row],[price(USD)]]</f>
        <v>68452</v>
      </c>
      <c r="N203" t="s">
        <v>277</v>
      </c>
      <c r="O203" t="s">
        <v>278</v>
      </c>
      <c r="P203" t="str">
        <f>HYPERLINK(Table1[[#This Row],[url]],Table1[[#This Row],[name]])</f>
        <v>MIXED COLLAR JACKET</v>
      </c>
      <c r="Q203" t="str">
        <f>IF(Table1[[#This Row],[price(USD)]]&gt;295.33,"Premimum",IF(Table1[[#This Row],[price(USD)]]&gt;151.66,"Mid Range","Budget"))</f>
        <v>Budget</v>
      </c>
      <c r="R203" t="str">
        <f>IF(Table1[[#This Row],[Sales Volume]]&gt;2169,"Best Seller",IF(Table1[[#This Row],[Sales Volume]]&gt;1349,"Average","Slow seller"))</f>
        <v>Slow seller</v>
      </c>
    </row>
    <row r="204" spans="1:18">
      <c r="A204">
        <v>189118</v>
      </c>
      <c r="B204" t="s">
        <v>307</v>
      </c>
      <c r="C204" t="s">
        <v>287</v>
      </c>
      <c r="D204" t="s">
        <v>271</v>
      </c>
      <c r="E204" t="s">
        <v>287</v>
      </c>
      <c r="F204">
        <v>952</v>
      </c>
      <c r="G204" t="s">
        <v>308</v>
      </c>
      <c r="H204" t="s">
        <v>309</v>
      </c>
      <c r="I204" t="s">
        <v>310</v>
      </c>
      <c r="J204" t="s">
        <v>311</v>
      </c>
      <c r="K204">
        <v>69.989999999999995</v>
      </c>
      <c r="L204" t="s">
        <v>276</v>
      </c>
      <c r="M204">
        <f>Table1[[#This Row],[Sales Volume]]*Table1[[#This Row],[price(USD)]]</f>
        <v>66630.48</v>
      </c>
      <c r="N204" t="s">
        <v>277</v>
      </c>
      <c r="O204" t="s">
        <v>278</v>
      </c>
      <c r="P204" t="str">
        <f>HYPERLINK(Table1[[#This Row],[url]],Table1[[#This Row],[name]])</f>
        <v>FAUX LEATHER PUFFER JACKET</v>
      </c>
      <c r="Q204" t="str">
        <f>IF(Table1[[#This Row],[price(USD)]]&gt;295.33,"Premimum",IF(Table1[[#This Row],[price(USD)]]&gt;151.66,"Mid Range","Budget"))</f>
        <v>Budget</v>
      </c>
      <c r="R204" t="str">
        <f>IF(Table1[[#This Row],[Sales Volume]]&gt;2169,"Best Seller",IF(Table1[[#This Row],[Sales Volume]]&gt;1349,"Average","Slow seller"))</f>
        <v>Slow seller</v>
      </c>
    </row>
    <row r="205" spans="1:18">
      <c r="A205">
        <v>154676</v>
      </c>
      <c r="B205" t="s">
        <v>269</v>
      </c>
      <c r="C205" t="s">
        <v>270</v>
      </c>
      <c r="D205" t="s">
        <v>271</v>
      </c>
      <c r="E205" t="s">
        <v>270</v>
      </c>
      <c r="F205">
        <v>943</v>
      </c>
      <c r="G205" t="s">
        <v>1031</v>
      </c>
      <c r="H205" t="s">
        <v>1032</v>
      </c>
      <c r="I205" t="s">
        <v>1033</v>
      </c>
      <c r="J205" t="s">
        <v>1034</v>
      </c>
      <c r="K205">
        <v>69.900000000000006</v>
      </c>
      <c r="L205" t="s">
        <v>276</v>
      </c>
      <c r="M205">
        <f>Table1[[#This Row],[Sales Volume]]*Table1[[#This Row],[price(USD)]]</f>
        <v>65915.700000000012</v>
      </c>
      <c r="N205" t="s">
        <v>277</v>
      </c>
      <c r="O205" t="s">
        <v>278</v>
      </c>
      <c r="P205" t="str">
        <f>HYPERLINK(Table1[[#This Row],[url]],Table1[[#This Row],[name]])</f>
        <v>FLEECE OVERSHIRT</v>
      </c>
      <c r="Q205" t="str">
        <f>IF(Table1[[#This Row],[price(USD)]]&gt;295.33,"Premimum",IF(Table1[[#This Row],[price(USD)]]&gt;151.66,"Mid Range","Budget"))</f>
        <v>Budget</v>
      </c>
      <c r="R205" t="str">
        <f>IF(Table1[[#This Row],[Sales Volume]]&gt;2169,"Best Seller",IF(Table1[[#This Row],[Sales Volume]]&gt;1349,"Average","Slow seller"))</f>
        <v>Slow seller</v>
      </c>
    </row>
    <row r="206" spans="1:18">
      <c r="A206">
        <v>195082</v>
      </c>
      <c r="B206" t="s">
        <v>307</v>
      </c>
      <c r="C206" t="s">
        <v>270</v>
      </c>
      <c r="D206" t="s">
        <v>271</v>
      </c>
      <c r="E206" t="s">
        <v>270</v>
      </c>
      <c r="F206">
        <v>923</v>
      </c>
      <c r="G206" t="s">
        <v>870</v>
      </c>
      <c r="H206" t="s">
        <v>871</v>
      </c>
      <c r="I206" t="s">
        <v>872</v>
      </c>
      <c r="J206" t="s">
        <v>873</v>
      </c>
      <c r="K206">
        <v>69.900000000000006</v>
      </c>
      <c r="L206" t="s">
        <v>276</v>
      </c>
      <c r="M206">
        <f>Table1[[#This Row],[Sales Volume]]*Table1[[#This Row],[price(USD)]]</f>
        <v>64517.700000000004</v>
      </c>
      <c r="N206" t="s">
        <v>774</v>
      </c>
      <c r="O206" t="s">
        <v>278</v>
      </c>
      <c r="P206" t="str">
        <f>HYPERLINK(Table1[[#This Row],[url]],Table1[[#This Row],[name]])</f>
        <v>CHUNKY SOLE HIGH TOP SNEAKERS</v>
      </c>
      <c r="Q206" t="str">
        <f>IF(Table1[[#This Row],[price(USD)]]&gt;295.33,"Premimum",IF(Table1[[#This Row],[price(USD)]]&gt;151.66,"Mid Range","Budget"))</f>
        <v>Budget</v>
      </c>
      <c r="R206" t="str">
        <f>IF(Table1[[#This Row],[Sales Volume]]&gt;2169,"Best Seller",IF(Table1[[#This Row],[Sales Volume]]&gt;1349,"Average","Slow seller"))</f>
        <v>Slow seller</v>
      </c>
    </row>
    <row r="207" spans="1:18">
      <c r="A207">
        <v>167592</v>
      </c>
      <c r="B207" t="s">
        <v>307</v>
      </c>
      <c r="C207" t="s">
        <v>287</v>
      </c>
      <c r="D207" t="s">
        <v>271</v>
      </c>
      <c r="E207" t="s">
        <v>270</v>
      </c>
      <c r="F207">
        <v>707</v>
      </c>
      <c r="G207" t="s">
        <v>467</v>
      </c>
      <c r="H207" t="s">
        <v>468</v>
      </c>
      <c r="I207" t="s">
        <v>469</v>
      </c>
      <c r="J207" t="s">
        <v>470</v>
      </c>
      <c r="K207">
        <v>89.9</v>
      </c>
      <c r="L207" t="s">
        <v>276</v>
      </c>
      <c r="M207">
        <f>Table1[[#This Row],[Sales Volume]]*Table1[[#This Row],[price(USD)]]</f>
        <v>63559.3</v>
      </c>
      <c r="N207" t="s">
        <v>277</v>
      </c>
      <c r="O207" t="s">
        <v>278</v>
      </c>
      <c r="P207" t="str">
        <f>HYPERLINK(Table1[[#This Row],[url]],Table1[[#This Row],[name]])</f>
        <v>FAUX SUEDE PATCH JACKET</v>
      </c>
      <c r="Q207" t="str">
        <f>IF(Table1[[#This Row],[price(USD)]]&gt;295.33,"Premimum",IF(Table1[[#This Row],[price(USD)]]&gt;151.66,"Mid Range","Budget"))</f>
        <v>Budget</v>
      </c>
      <c r="R207" t="str">
        <f>IF(Table1[[#This Row],[Sales Volume]]&gt;2169,"Best Seller",IF(Table1[[#This Row],[Sales Volume]]&gt;1349,"Average","Slow seller"))</f>
        <v>Slow seller</v>
      </c>
    </row>
    <row r="208" spans="1:18">
      <c r="A208">
        <v>187930</v>
      </c>
      <c r="B208" t="s">
        <v>286</v>
      </c>
      <c r="C208" t="s">
        <v>270</v>
      </c>
      <c r="D208" t="s">
        <v>271</v>
      </c>
      <c r="E208" t="s">
        <v>287</v>
      </c>
      <c r="F208">
        <v>706</v>
      </c>
      <c r="G208" t="s">
        <v>502</v>
      </c>
      <c r="H208" t="s">
        <v>503</v>
      </c>
      <c r="I208" t="s">
        <v>504</v>
      </c>
      <c r="J208" t="s">
        <v>505</v>
      </c>
      <c r="K208">
        <v>89.9</v>
      </c>
      <c r="L208" t="s">
        <v>276</v>
      </c>
      <c r="M208">
        <f>Table1[[#This Row],[Sales Volume]]*Table1[[#This Row],[price(USD)]]</f>
        <v>63469.4</v>
      </c>
      <c r="N208" t="s">
        <v>277</v>
      </c>
      <c r="O208" t="s">
        <v>278</v>
      </c>
      <c r="P208" t="str">
        <f>HYPERLINK(Table1[[#This Row],[url]],Table1[[#This Row],[name]])</f>
        <v>OVERSIZED BOMBER JACKET</v>
      </c>
      <c r="Q208" t="str">
        <f>IF(Table1[[#This Row],[price(USD)]]&gt;295.33,"Premimum",IF(Table1[[#This Row],[price(USD)]]&gt;151.66,"Mid Range","Budget"))</f>
        <v>Budget</v>
      </c>
      <c r="R208" t="str">
        <f>IF(Table1[[#This Row],[Sales Volume]]&gt;2169,"Best Seller",IF(Table1[[#This Row],[Sales Volume]]&gt;1349,"Average","Slow seller"))</f>
        <v>Slow seller</v>
      </c>
    </row>
    <row r="209" spans="1:18">
      <c r="A209">
        <v>189692</v>
      </c>
      <c r="B209" t="s">
        <v>286</v>
      </c>
      <c r="C209" t="s">
        <v>287</v>
      </c>
      <c r="D209" t="s">
        <v>271</v>
      </c>
      <c r="E209" t="s">
        <v>270</v>
      </c>
      <c r="F209">
        <v>1553</v>
      </c>
      <c r="G209" t="s">
        <v>1106</v>
      </c>
      <c r="H209" t="s">
        <v>1107</v>
      </c>
      <c r="I209" t="s">
        <v>1108</v>
      </c>
      <c r="J209" t="s">
        <v>1109</v>
      </c>
      <c r="K209">
        <v>39.9</v>
      </c>
      <c r="L209" t="s">
        <v>276</v>
      </c>
      <c r="M209">
        <f>Table1[[#This Row],[Sales Volume]]*Table1[[#This Row],[price(USD)]]</f>
        <v>61964.7</v>
      </c>
      <c r="N209" t="s">
        <v>1093</v>
      </c>
      <c r="O209" t="s">
        <v>278</v>
      </c>
      <c r="P209" t="str">
        <f>HYPERLINK(Table1[[#This Row],[url]],Table1[[#This Row],[name]])</f>
        <v>TEXT T-SHIRT</v>
      </c>
      <c r="Q209" t="str">
        <f>IF(Table1[[#This Row],[price(USD)]]&gt;295.33,"Premimum",IF(Table1[[#This Row],[price(USD)]]&gt;151.66,"Mid Range","Budget"))</f>
        <v>Budget</v>
      </c>
      <c r="R209" t="str">
        <f>IF(Table1[[#This Row],[Sales Volume]]&gt;2169,"Best Seller",IF(Table1[[#This Row],[Sales Volume]]&gt;1349,"Average","Slow seller"))</f>
        <v>Average</v>
      </c>
    </row>
    <row r="210" spans="1:18">
      <c r="A210">
        <v>182866</v>
      </c>
      <c r="B210" t="s">
        <v>269</v>
      </c>
      <c r="C210" t="s">
        <v>270</v>
      </c>
      <c r="D210" t="s">
        <v>271</v>
      </c>
      <c r="E210" t="s">
        <v>287</v>
      </c>
      <c r="F210">
        <v>1552</v>
      </c>
      <c r="G210" t="s">
        <v>955</v>
      </c>
      <c r="H210" t="s">
        <v>956</v>
      </c>
      <c r="I210" t="s">
        <v>957</v>
      </c>
      <c r="J210" t="s">
        <v>958</v>
      </c>
      <c r="K210">
        <v>39.9</v>
      </c>
      <c r="L210" t="s">
        <v>276</v>
      </c>
      <c r="M210">
        <f>Table1[[#This Row],[Sales Volume]]*Table1[[#This Row],[price(USD)]]</f>
        <v>61924.799999999996</v>
      </c>
      <c r="N210" t="s">
        <v>893</v>
      </c>
      <c r="O210" t="s">
        <v>894</v>
      </c>
      <c r="P210" t="str">
        <f>HYPERLINK(Table1[[#This Row],[url]],Table1[[#This Row],[name]])</f>
        <v>KNIT SWEATER WITH BUTTONS</v>
      </c>
      <c r="Q210" t="str">
        <f>IF(Table1[[#This Row],[price(USD)]]&gt;295.33,"Premimum",IF(Table1[[#This Row],[price(USD)]]&gt;151.66,"Mid Range","Budget"))</f>
        <v>Budget</v>
      </c>
      <c r="R210" t="str">
        <f>IF(Table1[[#This Row],[Sales Volume]]&gt;2169,"Best Seller",IF(Table1[[#This Row],[Sales Volume]]&gt;1349,"Average","Slow seller"))</f>
        <v>Average</v>
      </c>
    </row>
    <row r="211" spans="1:18">
      <c r="A211">
        <v>193332</v>
      </c>
      <c r="B211" t="s">
        <v>269</v>
      </c>
      <c r="C211" t="s">
        <v>287</v>
      </c>
      <c r="D211" t="s">
        <v>271</v>
      </c>
      <c r="E211" t="s">
        <v>270</v>
      </c>
      <c r="F211">
        <v>1237</v>
      </c>
      <c r="G211" t="s">
        <v>882</v>
      </c>
      <c r="H211" t="s">
        <v>883</v>
      </c>
      <c r="I211" t="s">
        <v>884</v>
      </c>
      <c r="J211" t="s">
        <v>885</v>
      </c>
      <c r="K211">
        <v>49.9</v>
      </c>
      <c r="L211" t="s">
        <v>276</v>
      </c>
      <c r="M211">
        <f>Table1[[#This Row],[Sales Volume]]*Table1[[#This Row],[price(USD)]]</f>
        <v>61726.299999999996</v>
      </c>
      <c r="N211" t="s">
        <v>774</v>
      </c>
      <c r="O211" t="s">
        <v>278</v>
      </c>
      <c r="P211" t="str">
        <f>HYPERLINK(Table1[[#This Row],[url]],Table1[[#This Row],[name]])</f>
        <v>WOVEN LEATHER SLIDES</v>
      </c>
      <c r="Q211" t="str">
        <f>IF(Table1[[#This Row],[price(USD)]]&gt;295.33,"Premimum",IF(Table1[[#This Row],[price(USD)]]&gt;151.66,"Mid Range","Budget"))</f>
        <v>Budget</v>
      </c>
      <c r="R211" t="str">
        <f>IF(Table1[[#This Row],[Sales Volume]]&gt;2169,"Best Seller",IF(Table1[[#This Row],[Sales Volume]]&gt;1349,"Average","Slow seller"))</f>
        <v>Slow seller</v>
      </c>
    </row>
    <row r="212" spans="1:18">
      <c r="A212">
        <v>123230</v>
      </c>
      <c r="B212" t="s">
        <v>269</v>
      </c>
      <c r="C212" t="s">
        <v>270</v>
      </c>
      <c r="D212" t="s">
        <v>271</v>
      </c>
      <c r="E212" t="s">
        <v>287</v>
      </c>
      <c r="F212">
        <v>880</v>
      </c>
      <c r="G212" t="s">
        <v>1027</v>
      </c>
      <c r="H212" t="s">
        <v>1028</v>
      </c>
      <c r="I212" t="s">
        <v>1029</v>
      </c>
      <c r="J212" t="s">
        <v>1030</v>
      </c>
      <c r="K212">
        <v>69.900000000000006</v>
      </c>
      <c r="L212" t="s">
        <v>276</v>
      </c>
      <c r="M212">
        <f>Table1[[#This Row],[Sales Volume]]*Table1[[#This Row],[price(USD)]]</f>
        <v>61512.000000000007</v>
      </c>
      <c r="N212" t="s">
        <v>277</v>
      </c>
      <c r="O212" t="s">
        <v>278</v>
      </c>
      <c r="P212" t="str">
        <f>HYPERLINK(Table1[[#This Row],[url]],Table1[[#This Row],[name]])</f>
        <v>STRIPED TEXTURED OVERSHIRT</v>
      </c>
      <c r="Q212" t="str">
        <f>IF(Table1[[#This Row],[price(USD)]]&gt;295.33,"Premimum",IF(Table1[[#This Row],[price(USD)]]&gt;151.66,"Mid Range","Budget"))</f>
        <v>Budget</v>
      </c>
      <c r="R212" t="str">
        <f>IF(Table1[[#This Row],[Sales Volume]]&gt;2169,"Best Seller",IF(Table1[[#This Row],[Sales Volume]]&gt;1349,"Average","Slow seller"))</f>
        <v>Slow seller</v>
      </c>
    </row>
    <row r="213" spans="1:18">
      <c r="A213">
        <v>125938</v>
      </c>
      <c r="B213" t="s">
        <v>269</v>
      </c>
      <c r="C213" t="s">
        <v>287</v>
      </c>
      <c r="D213" t="s">
        <v>271</v>
      </c>
      <c r="E213" t="s">
        <v>287</v>
      </c>
      <c r="F213">
        <v>1204</v>
      </c>
      <c r="G213" t="s">
        <v>935</v>
      </c>
      <c r="H213" t="s">
        <v>936</v>
      </c>
      <c r="I213" t="s">
        <v>937</v>
      </c>
      <c r="J213" t="s">
        <v>938</v>
      </c>
      <c r="K213">
        <v>49.9</v>
      </c>
      <c r="L213" t="s">
        <v>276</v>
      </c>
      <c r="M213">
        <f>Table1[[#This Row],[Sales Volume]]*Table1[[#This Row],[price(USD)]]</f>
        <v>60079.6</v>
      </c>
      <c r="N213" t="s">
        <v>893</v>
      </c>
      <c r="O213" t="s">
        <v>894</v>
      </c>
      <c r="P213" t="str">
        <f>HYPERLINK(Table1[[#This Row],[url]],Table1[[#This Row],[name]])</f>
        <v>OVERSIZED KNIT SWEATER</v>
      </c>
      <c r="Q213" t="str">
        <f>IF(Table1[[#This Row],[price(USD)]]&gt;295.33,"Premimum",IF(Table1[[#This Row],[price(USD)]]&gt;151.66,"Mid Range","Budget"))</f>
        <v>Budget</v>
      </c>
      <c r="R213" t="str">
        <f>IF(Table1[[#This Row],[Sales Volume]]&gt;2169,"Best Seller",IF(Table1[[#This Row],[Sales Volume]]&gt;1349,"Average","Slow seller"))</f>
        <v>Slow seller</v>
      </c>
    </row>
    <row r="214" spans="1:18">
      <c r="A214">
        <v>168837</v>
      </c>
      <c r="B214" t="s">
        <v>269</v>
      </c>
      <c r="C214" t="s">
        <v>270</v>
      </c>
      <c r="D214" t="s">
        <v>271</v>
      </c>
      <c r="E214" t="s">
        <v>270</v>
      </c>
      <c r="F214">
        <v>665</v>
      </c>
      <c r="G214" t="s">
        <v>457</v>
      </c>
      <c r="H214" t="s">
        <v>458</v>
      </c>
      <c r="I214" t="s">
        <v>426</v>
      </c>
      <c r="J214" t="s">
        <v>427</v>
      </c>
      <c r="K214">
        <v>89.9</v>
      </c>
      <c r="L214" t="s">
        <v>276</v>
      </c>
      <c r="M214">
        <f>Table1[[#This Row],[Sales Volume]]*Table1[[#This Row],[price(USD)]]</f>
        <v>59783.500000000007</v>
      </c>
      <c r="N214" t="s">
        <v>277</v>
      </c>
      <c r="O214" t="s">
        <v>278</v>
      </c>
      <c r="P214" t="str">
        <f>HYPERLINK(Table1[[#This Row],[url]],Table1[[#This Row],[name]])</f>
        <v>FAUX SUEDE JACKET</v>
      </c>
      <c r="Q214" t="str">
        <f>IF(Table1[[#This Row],[price(USD)]]&gt;295.33,"Premimum",IF(Table1[[#This Row],[price(USD)]]&gt;151.66,"Mid Range","Budget"))</f>
        <v>Budget</v>
      </c>
      <c r="R214" t="str">
        <f>IF(Table1[[#This Row],[Sales Volume]]&gt;2169,"Best Seller",IF(Table1[[#This Row],[Sales Volume]]&gt;1349,"Average","Slow seller"))</f>
        <v>Slow seller</v>
      </c>
    </row>
    <row r="215" spans="1:18">
      <c r="A215">
        <v>183825</v>
      </c>
      <c r="B215" t="s">
        <v>269</v>
      </c>
      <c r="C215" t="s">
        <v>287</v>
      </c>
      <c r="D215" t="s">
        <v>271</v>
      </c>
      <c r="E215" t="s">
        <v>287</v>
      </c>
      <c r="F215">
        <v>2989</v>
      </c>
      <c r="G215" s="3" t="s">
        <v>751</v>
      </c>
      <c r="H215" t="s">
        <v>752</v>
      </c>
      <c r="I215" t="s">
        <v>753</v>
      </c>
      <c r="J215" t="s">
        <v>754</v>
      </c>
      <c r="K215">
        <v>19.989999999999998</v>
      </c>
      <c r="L215" t="s">
        <v>276</v>
      </c>
      <c r="M215">
        <f>Table1[[#This Row],[Sales Volume]]*Table1[[#This Row],[price(USD)]]</f>
        <v>59750.109999999993</v>
      </c>
      <c r="N215" t="s">
        <v>277</v>
      </c>
      <c r="O215" t="s">
        <v>278</v>
      </c>
      <c r="P215" t="str">
        <f>HYPERLINK(Table1[[#This Row],[url]],Table1[[#This Row],[name]])</f>
        <v>PLAID TIE DYE OVERSHIRT</v>
      </c>
      <c r="Q215" t="str">
        <f>IF(Table1[[#This Row],[price(USD)]]&gt;295.33,"Premimum",IF(Table1[[#This Row],[price(USD)]]&gt;151.66,"Mid Range","Budget"))</f>
        <v>Budget</v>
      </c>
      <c r="R215" t="str">
        <f>IF(Table1[[#This Row],[Sales Volume]]&gt;2169,"Best Seller",IF(Table1[[#This Row],[Sales Volume]]&gt;1349,"Average","Slow seller"))</f>
        <v>Best Seller</v>
      </c>
    </row>
    <row r="216" spans="1:18">
      <c r="A216">
        <v>116228</v>
      </c>
      <c r="B216" t="s">
        <v>286</v>
      </c>
      <c r="C216" t="s">
        <v>287</v>
      </c>
      <c r="D216" t="s">
        <v>271</v>
      </c>
      <c r="E216" t="s">
        <v>270</v>
      </c>
      <c r="F216">
        <v>647</v>
      </c>
      <c r="G216" t="s">
        <v>463</v>
      </c>
      <c r="H216" t="s">
        <v>464</v>
      </c>
      <c r="I216" t="s">
        <v>465</v>
      </c>
      <c r="J216" t="s">
        <v>466</v>
      </c>
      <c r="K216">
        <v>89.9</v>
      </c>
      <c r="L216" t="s">
        <v>276</v>
      </c>
      <c r="M216">
        <f>Table1[[#This Row],[Sales Volume]]*Table1[[#This Row],[price(USD)]]</f>
        <v>58165.3</v>
      </c>
      <c r="N216" t="s">
        <v>277</v>
      </c>
      <c r="O216" t="s">
        <v>278</v>
      </c>
      <c r="P216" t="str">
        <f>HYPERLINK(Table1[[#This Row],[url]],Table1[[#This Row],[name]])</f>
        <v>TEXTURED POCKET JACKET</v>
      </c>
      <c r="Q216" t="str">
        <f>IF(Table1[[#This Row],[price(USD)]]&gt;295.33,"Premimum",IF(Table1[[#This Row],[price(USD)]]&gt;151.66,"Mid Range","Budget"))</f>
        <v>Budget</v>
      </c>
      <c r="R216" t="str">
        <f>IF(Table1[[#This Row],[Sales Volume]]&gt;2169,"Best Seller",IF(Table1[[#This Row],[Sales Volume]]&gt;1349,"Average","Slow seller"))</f>
        <v>Slow seller</v>
      </c>
    </row>
    <row r="217" spans="1:18">
      <c r="A217">
        <v>185102</v>
      </c>
      <c r="B217" t="s">
        <v>269</v>
      </c>
      <c r="C217" t="s">
        <v>270</v>
      </c>
      <c r="D217" t="s">
        <v>271</v>
      </c>
      <c r="E217" t="s">
        <v>270</v>
      </c>
      <c r="F217">
        <v>2823</v>
      </c>
      <c r="G217" t="s">
        <v>272</v>
      </c>
      <c r="H217" t="s">
        <v>273</v>
      </c>
      <c r="I217" t="s">
        <v>274</v>
      </c>
      <c r="J217" t="s">
        <v>275</v>
      </c>
      <c r="K217">
        <v>19.989999999999998</v>
      </c>
      <c r="L217" t="s">
        <v>276</v>
      </c>
      <c r="M217">
        <f>Table1[[#This Row],[Sales Volume]]*Table1[[#This Row],[price(USD)]]</f>
        <v>56431.77</v>
      </c>
      <c r="N217" t="s">
        <v>277</v>
      </c>
      <c r="O217" t="s">
        <v>278</v>
      </c>
      <c r="P217" s="1" t="str">
        <f>HYPERLINK(Table1[[#This Row],[url]],Table1[[#This Row],[name]])</f>
        <v>BASIC PUFFER JACKET</v>
      </c>
      <c r="Q217" t="str">
        <f>IF(Table1[[#This Row],[price(USD)]]&gt;295.33,"Premimum",IF(Table1[[#This Row],[price(USD)]]&gt;151.66,"Mid Range","Budget"))</f>
        <v>Budget</v>
      </c>
      <c r="R217" t="str">
        <f>IF(Table1[[#This Row],[Sales Volume]]&gt;2169,"Best Seller",IF(Table1[[#This Row],[Sales Volume]]&gt;1349,"Average","Slow seller"))</f>
        <v>Best Seller</v>
      </c>
    </row>
    <row r="218" spans="1:18">
      <c r="A218">
        <v>144497</v>
      </c>
      <c r="B218" t="s">
        <v>286</v>
      </c>
      <c r="C218" t="s">
        <v>287</v>
      </c>
      <c r="D218" t="s">
        <v>271</v>
      </c>
      <c r="E218" t="s">
        <v>287</v>
      </c>
      <c r="F218">
        <v>1105</v>
      </c>
      <c r="G218" t="s">
        <v>903</v>
      </c>
      <c r="H218" t="s">
        <v>904</v>
      </c>
      <c r="I218" t="s">
        <v>905</v>
      </c>
      <c r="J218" t="s">
        <v>906</v>
      </c>
      <c r="K218">
        <v>49.9</v>
      </c>
      <c r="L218" t="s">
        <v>276</v>
      </c>
      <c r="M218">
        <f>Table1[[#This Row],[Sales Volume]]*Table1[[#This Row],[price(USD)]]</f>
        <v>55139.5</v>
      </c>
      <c r="N218" t="s">
        <v>893</v>
      </c>
      <c r="O218" t="s">
        <v>894</v>
      </c>
      <c r="P218" t="str">
        <f>HYPERLINK(Table1[[#This Row],[url]],Table1[[#This Row],[name]])</f>
        <v>STRIPED KNIT SWEATER</v>
      </c>
      <c r="Q218" t="str">
        <f>IF(Table1[[#This Row],[price(USD)]]&gt;295.33,"Premimum",IF(Table1[[#This Row],[price(USD)]]&gt;151.66,"Mid Range","Budget"))</f>
        <v>Budget</v>
      </c>
      <c r="R218" t="str">
        <f>IF(Table1[[#This Row],[Sales Volume]]&gt;2169,"Best Seller",IF(Table1[[#This Row],[Sales Volume]]&gt;1349,"Average","Slow seller"))</f>
        <v>Slow seller</v>
      </c>
    </row>
    <row r="219" spans="1:18">
      <c r="A219">
        <v>129134</v>
      </c>
      <c r="B219" t="s">
        <v>269</v>
      </c>
      <c r="C219" t="s">
        <v>270</v>
      </c>
      <c r="D219" t="s">
        <v>271</v>
      </c>
      <c r="E219" t="s">
        <v>287</v>
      </c>
      <c r="F219">
        <v>1831</v>
      </c>
      <c r="G219" t="s">
        <v>1098</v>
      </c>
      <c r="H219" t="s">
        <v>1099</v>
      </c>
      <c r="I219" t="s">
        <v>1100</v>
      </c>
      <c r="J219" t="s">
        <v>1101</v>
      </c>
      <c r="K219">
        <v>29.9</v>
      </c>
      <c r="L219" t="s">
        <v>276</v>
      </c>
      <c r="M219">
        <f>Table1[[#This Row],[Sales Volume]]*Table1[[#This Row],[price(USD)]]</f>
        <v>54746.899999999994</v>
      </c>
      <c r="N219" t="s">
        <v>1093</v>
      </c>
      <c r="O219" t="s">
        <v>278</v>
      </c>
      <c r="P219" t="str">
        <f>HYPERLINK(Table1[[#This Row],[url]],Table1[[#This Row],[name]])</f>
        <v>BASIC HEAVYWEIGHT T-SHIRT</v>
      </c>
      <c r="Q219" t="str">
        <f>IF(Table1[[#This Row],[price(USD)]]&gt;295.33,"Premimum",IF(Table1[[#This Row],[price(USD)]]&gt;151.66,"Mid Range","Budget"))</f>
        <v>Budget</v>
      </c>
      <c r="R219" t="str">
        <f>IF(Table1[[#This Row],[Sales Volume]]&gt;2169,"Best Seller",IF(Table1[[#This Row],[Sales Volume]]&gt;1349,"Average","Slow seller"))</f>
        <v>Average</v>
      </c>
    </row>
    <row r="220" spans="1:18">
      <c r="A220">
        <v>159816</v>
      </c>
      <c r="B220" t="s">
        <v>307</v>
      </c>
      <c r="C220" t="s">
        <v>270</v>
      </c>
      <c r="D220" t="s">
        <v>271</v>
      </c>
      <c r="E220" t="s">
        <v>287</v>
      </c>
      <c r="F220">
        <v>1961</v>
      </c>
      <c r="G220" t="s">
        <v>1122</v>
      </c>
      <c r="H220" t="s">
        <v>1123</v>
      </c>
      <c r="I220" t="s">
        <v>1124</v>
      </c>
      <c r="J220" t="s">
        <v>1125</v>
      </c>
      <c r="K220">
        <v>27.9</v>
      </c>
      <c r="L220" t="s">
        <v>276</v>
      </c>
      <c r="M220">
        <f>Table1[[#This Row],[Sales Volume]]*Table1[[#This Row],[price(USD)]]</f>
        <v>54711.899999999994</v>
      </c>
      <c r="N220" t="s">
        <v>1093</v>
      </c>
      <c r="O220" t="s">
        <v>278</v>
      </c>
      <c r="P220" t="str">
        <f>HYPERLINK(Table1[[#This Row],[url]],Table1[[#This Row],[name]])</f>
        <v>BASIC MEDIUM WEIGHT T-SHIRT</v>
      </c>
      <c r="Q220" t="str">
        <f>IF(Table1[[#This Row],[price(USD)]]&gt;295.33,"Premimum",IF(Table1[[#This Row],[price(USD)]]&gt;151.66,"Mid Range","Budget"))</f>
        <v>Budget</v>
      </c>
      <c r="R220" t="str">
        <f>IF(Table1[[#This Row],[Sales Volume]]&gt;2169,"Best Seller",IF(Table1[[#This Row],[Sales Volume]]&gt;1349,"Average","Slow seller"))</f>
        <v>Average</v>
      </c>
    </row>
    <row r="221" spans="1:18">
      <c r="A221">
        <v>165326</v>
      </c>
      <c r="B221" t="s">
        <v>269</v>
      </c>
      <c r="C221" t="s">
        <v>270</v>
      </c>
      <c r="D221" t="s">
        <v>271</v>
      </c>
      <c r="E221" t="s">
        <v>270</v>
      </c>
      <c r="F221">
        <v>1188</v>
      </c>
      <c r="G221" t="s">
        <v>1126</v>
      </c>
      <c r="H221" t="s">
        <v>1127</v>
      </c>
      <c r="I221" t="s">
        <v>1128</v>
      </c>
      <c r="J221" t="s">
        <v>1129</v>
      </c>
      <c r="K221">
        <v>45.9</v>
      </c>
      <c r="L221" t="s">
        <v>276</v>
      </c>
      <c r="M221">
        <f>Table1[[#This Row],[Sales Volume]]*Table1[[#This Row],[price(USD)]]</f>
        <v>54529.2</v>
      </c>
      <c r="N221" t="s">
        <v>1093</v>
      </c>
      <c r="O221" t="s">
        <v>278</v>
      </c>
      <c r="P221" t="str">
        <f>HYPERLINK(Table1[[#This Row],[url]],Table1[[#This Row],[name]])</f>
        <v>STRUCTURED TEXT T-SHIRT</v>
      </c>
      <c r="Q221" t="str">
        <f>IF(Table1[[#This Row],[price(USD)]]&gt;295.33,"Premimum",IF(Table1[[#This Row],[price(USD)]]&gt;151.66,"Mid Range","Budget"))</f>
        <v>Budget</v>
      </c>
      <c r="R221" t="str">
        <f>IF(Table1[[#This Row],[Sales Volume]]&gt;2169,"Best Seller",IF(Table1[[#This Row],[Sales Volume]]&gt;1349,"Average","Slow seller"))</f>
        <v>Slow seller</v>
      </c>
    </row>
    <row r="222" spans="1:18">
      <c r="A222">
        <v>167281</v>
      </c>
      <c r="B222" t="s">
        <v>286</v>
      </c>
      <c r="C222" t="s">
        <v>287</v>
      </c>
      <c r="D222" t="s">
        <v>271</v>
      </c>
      <c r="E222" t="s">
        <v>287</v>
      </c>
      <c r="F222">
        <v>892</v>
      </c>
      <c r="G222" t="s">
        <v>791</v>
      </c>
      <c r="H222" t="s">
        <v>792</v>
      </c>
      <c r="I222" t="s">
        <v>793</v>
      </c>
      <c r="J222" t="s">
        <v>794</v>
      </c>
      <c r="K222">
        <v>59.9</v>
      </c>
      <c r="L222" t="s">
        <v>276</v>
      </c>
      <c r="M222">
        <f>Table1[[#This Row],[Sales Volume]]*Table1[[#This Row],[price(USD)]]</f>
        <v>53430.799999999996</v>
      </c>
      <c r="N222" t="s">
        <v>774</v>
      </c>
      <c r="O222" t="s">
        <v>278</v>
      </c>
      <c r="P222" t="str">
        <f>HYPERLINK(Table1[[#This Row],[url]],Table1[[#This Row],[name]])</f>
        <v>SUEDE HIGH-TOPS</v>
      </c>
      <c r="Q222" t="str">
        <f>IF(Table1[[#This Row],[price(USD)]]&gt;295.33,"Premimum",IF(Table1[[#This Row],[price(USD)]]&gt;151.66,"Mid Range","Budget"))</f>
        <v>Budget</v>
      </c>
      <c r="R222" t="str">
        <f>IF(Table1[[#This Row],[Sales Volume]]&gt;2169,"Best Seller",IF(Table1[[#This Row],[Sales Volume]]&gt;1349,"Average","Slow seller"))</f>
        <v>Slow seller</v>
      </c>
    </row>
    <row r="223" spans="1:18">
      <c r="A223">
        <v>118569</v>
      </c>
      <c r="B223" t="s">
        <v>269</v>
      </c>
      <c r="C223" t="s">
        <v>270</v>
      </c>
      <c r="D223" t="s">
        <v>271</v>
      </c>
      <c r="E223" t="s">
        <v>287</v>
      </c>
      <c r="F223">
        <v>994</v>
      </c>
      <c r="G223" t="s">
        <v>919</v>
      </c>
      <c r="H223" t="s">
        <v>920</v>
      </c>
      <c r="I223" t="s">
        <v>921</v>
      </c>
      <c r="J223" t="s">
        <v>922</v>
      </c>
      <c r="K223">
        <v>49.9</v>
      </c>
      <c r="L223" t="s">
        <v>276</v>
      </c>
      <c r="M223">
        <f>Table1[[#This Row],[Sales Volume]]*Table1[[#This Row],[price(USD)]]</f>
        <v>49600.6</v>
      </c>
      <c r="N223" t="s">
        <v>893</v>
      </c>
      <c r="O223" t="s">
        <v>894</v>
      </c>
      <c r="P223" t="str">
        <f>HYPERLINK(Table1[[#This Row],[url]],Table1[[#This Row],[name]])</f>
        <v>ALPACA AND WOOL BLEND TIE DYE KNIT SWEATER</v>
      </c>
      <c r="Q223" t="str">
        <f>IF(Table1[[#This Row],[price(USD)]]&gt;295.33,"Premimum",IF(Table1[[#This Row],[price(USD)]]&gt;151.66,"Mid Range","Budget"))</f>
        <v>Budget</v>
      </c>
      <c r="R223" t="str">
        <f>IF(Table1[[#This Row],[Sales Volume]]&gt;2169,"Best Seller",IF(Table1[[#This Row],[Sales Volume]]&gt;1349,"Average","Slow seller"))</f>
        <v>Slow seller</v>
      </c>
    </row>
    <row r="224" spans="1:18">
      <c r="A224">
        <v>183537</v>
      </c>
      <c r="B224" t="s">
        <v>307</v>
      </c>
      <c r="C224" t="s">
        <v>287</v>
      </c>
      <c r="D224" t="s">
        <v>271</v>
      </c>
      <c r="E224" t="s">
        <v>287</v>
      </c>
      <c r="F224">
        <v>2434</v>
      </c>
      <c r="G224" t="s">
        <v>743</v>
      </c>
      <c r="H224" t="s">
        <v>744</v>
      </c>
      <c r="I224" t="s">
        <v>745</v>
      </c>
      <c r="J224" t="s">
        <v>746</v>
      </c>
      <c r="K224">
        <v>19.989999999999998</v>
      </c>
      <c r="L224" t="s">
        <v>276</v>
      </c>
      <c r="M224">
        <f>Table1[[#This Row],[Sales Volume]]*Table1[[#This Row],[price(USD)]]</f>
        <v>48655.659999999996</v>
      </c>
      <c r="N224" t="s">
        <v>277</v>
      </c>
      <c r="O224" t="s">
        <v>278</v>
      </c>
      <c r="P224" t="str">
        <f>HYPERLINK(Table1[[#This Row],[url]],Table1[[#This Row],[name]])</f>
        <v>PAINT PRINT OVERSHIRT</v>
      </c>
      <c r="Q224" t="str">
        <f>IF(Table1[[#This Row],[price(USD)]]&gt;295.33,"Premimum",IF(Table1[[#This Row],[price(USD)]]&gt;151.66,"Mid Range","Budget"))</f>
        <v>Budget</v>
      </c>
      <c r="R224" t="str">
        <f>IF(Table1[[#This Row],[Sales Volume]]&gt;2169,"Best Seller",IF(Table1[[#This Row],[Sales Volume]]&gt;1349,"Average","Slow seller"))</f>
        <v>Best Seller</v>
      </c>
    </row>
    <row r="225" spans="1:18">
      <c r="A225">
        <v>160763</v>
      </c>
      <c r="B225" t="s">
        <v>307</v>
      </c>
      <c r="C225" t="s">
        <v>287</v>
      </c>
      <c r="D225" t="s">
        <v>271</v>
      </c>
      <c r="E225" t="s">
        <v>287</v>
      </c>
      <c r="F225">
        <v>991</v>
      </c>
      <c r="G225" t="s">
        <v>863</v>
      </c>
      <c r="H225" t="s">
        <v>864</v>
      </c>
      <c r="I225" t="s">
        <v>865</v>
      </c>
      <c r="J225" t="s">
        <v>866</v>
      </c>
      <c r="K225">
        <v>45.9</v>
      </c>
      <c r="L225" t="s">
        <v>276</v>
      </c>
      <c r="M225">
        <f>Table1[[#This Row],[Sales Volume]]*Table1[[#This Row],[price(USD)]]</f>
        <v>45486.9</v>
      </c>
      <c r="N225" t="s">
        <v>774</v>
      </c>
      <c r="O225" t="s">
        <v>278</v>
      </c>
      <c r="P225" t="str">
        <f>HYPERLINK(Table1[[#This Row],[url]],Table1[[#This Row],[name]])</f>
        <v>ADHERENT STRIPES SNEAKERS</v>
      </c>
      <c r="Q225" t="str">
        <f>IF(Table1[[#This Row],[price(USD)]]&gt;295.33,"Premimum",IF(Table1[[#This Row],[price(USD)]]&gt;151.66,"Mid Range","Budget"))</f>
        <v>Budget</v>
      </c>
      <c r="R225" t="str">
        <f>IF(Table1[[#This Row],[Sales Volume]]&gt;2169,"Best Seller",IF(Table1[[#This Row],[Sales Volume]]&gt;1349,"Average","Slow seller"))</f>
        <v>Slow seller</v>
      </c>
    </row>
    <row r="226" spans="1:18">
      <c r="A226">
        <v>155674</v>
      </c>
      <c r="B226" t="s">
        <v>307</v>
      </c>
      <c r="C226" t="s">
        <v>270</v>
      </c>
      <c r="D226" t="s">
        <v>271</v>
      </c>
      <c r="E226" t="s">
        <v>270</v>
      </c>
      <c r="F226">
        <v>897</v>
      </c>
      <c r="G226" t="s">
        <v>951</v>
      </c>
      <c r="H226" t="s">
        <v>952</v>
      </c>
      <c r="I226" t="s">
        <v>953</v>
      </c>
      <c r="J226" t="s">
        <v>954</v>
      </c>
      <c r="K226">
        <v>49.9</v>
      </c>
      <c r="L226" t="s">
        <v>276</v>
      </c>
      <c r="M226">
        <f>Table1[[#This Row],[Sales Volume]]*Table1[[#This Row],[price(USD)]]</f>
        <v>44760.299999999996</v>
      </c>
      <c r="N226" t="s">
        <v>893</v>
      </c>
      <c r="O226" t="s">
        <v>894</v>
      </c>
      <c r="P226" t="str">
        <f>HYPERLINK(Table1[[#This Row],[url]],Table1[[#This Row],[name]])</f>
        <v>METAL BEAD KNIT SWEATER</v>
      </c>
      <c r="Q226" t="str">
        <f>IF(Table1[[#This Row],[price(USD)]]&gt;295.33,"Premimum",IF(Table1[[#This Row],[price(USD)]]&gt;151.66,"Mid Range","Budget"))</f>
        <v>Budget</v>
      </c>
      <c r="R226" t="str">
        <f>IF(Table1[[#This Row],[Sales Volume]]&gt;2169,"Best Seller",IF(Table1[[#This Row],[Sales Volume]]&gt;1349,"Average","Slow seller"))</f>
        <v>Slow seller</v>
      </c>
    </row>
    <row r="227" spans="1:18">
      <c r="A227">
        <v>144012</v>
      </c>
      <c r="B227" t="s">
        <v>307</v>
      </c>
      <c r="C227" t="s">
        <v>287</v>
      </c>
      <c r="D227" t="s">
        <v>271</v>
      </c>
      <c r="E227" t="s">
        <v>270</v>
      </c>
      <c r="F227">
        <v>743</v>
      </c>
      <c r="G227" t="s">
        <v>755</v>
      </c>
      <c r="H227" t="s">
        <v>756</v>
      </c>
      <c r="I227" t="s">
        <v>757</v>
      </c>
      <c r="J227" t="s">
        <v>758</v>
      </c>
      <c r="K227">
        <v>59.9</v>
      </c>
      <c r="L227" t="s">
        <v>276</v>
      </c>
      <c r="M227">
        <f>Table1[[#This Row],[Sales Volume]]*Table1[[#This Row],[price(USD)]]</f>
        <v>44505.7</v>
      </c>
      <c r="N227" t="s">
        <v>277</v>
      </c>
      <c r="O227" t="s">
        <v>278</v>
      </c>
      <c r="P227" t="str">
        <f>HYPERLINK(Table1[[#This Row],[url]],Table1[[#This Row],[name]])</f>
        <v>OVERSHIRT WITH CONTRASTING TOPSTITCHING</v>
      </c>
      <c r="Q227" t="str">
        <f>IF(Table1[[#This Row],[price(USD)]]&gt;295.33,"Premimum",IF(Table1[[#This Row],[price(USD)]]&gt;151.66,"Mid Range","Budget"))</f>
        <v>Budget</v>
      </c>
      <c r="R227" t="str">
        <f>IF(Table1[[#This Row],[Sales Volume]]&gt;2169,"Best Seller",IF(Table1[[#This Row],[Sales Volume]]&gt;1349,"Average","Slow seller"))</f>
        <v>Slow seller</v>
      </c>
    </row>
    <row r="228" spans="1:18">
      <c r="A228">
        <v>158958</v>
      </c>
      <c r="B228" t="s">
        <v>286</v>
      </c>
      <c r="C228" t="s">
        <v>270</v>
      </c>
      <c r="D228" t="s">
        <v>271</v>
      </c>
      <c r="E228" t="s">
        <v>270</v>
      </c>
      <c r="F228">
        <v>903</v>
      </c>
      <c r="G228" t="s">
        <v>1138</v>
      </c>
      <c r="H228" t="s">
        <v>1139</v>
      </c>
      <c r="I228" t="s">
        <v>1116</v>
      </c>
      <c r="J228" t="s">
        <v>1140</v>
      </c>
      <c r="K228">
        <v>45.9</v>
      </c>
      <c r="L228" t="s">
        <v>276</v>
      </c>
      <c r="M228">
        <f>Table1[[#This Row],[Sales Volume]]*Table1[[#This Row],[price(USD)]]</f>
        <v>41447.699999999997</v>
      </c>
      <c r="N228" t="s">
        <v>1093</v>
      </c>
      <c r="O228" t="s">
        <v>278</v>
      </c>
      <c r="P228" t="str">
        <f>HYPERLINK(Table1[[#This Row],[url]],Table1[[#This Row],[name]])</f>
        <v>RIBBED KNIT T-SHIRT</v>
      </c>
      <c r="Q228" t="str">
        <f>IF(Table1[[#This Row],[price(USD)]]&gt;295.33,"Premimum",IF(Table1[[#This Row],[price(USD)]]&gt;151.66,"Mid Range","Budget"))</f>
        <v>Budget</v>
      </c>
      <c r="R228" t="str">
        <f>IF(Table1[[#This Row],[Sales Volume]]&gt;2169,"Best Seller",IF(Table1[[#This Row],[Sales Volume]]&gt;1349,"Average","Slow seller"))</f>
        <v>Slow seller</v>
      </c>
    </row>
    <row r="229" spans="1:18">
      <c r="A229">
        <v>122926</v>
      </c>
      <c r="B229" t="s">
        <v>286</v>
      </c>
      <c r="C229" t="s">
        <v>270</v>
      </c>
      <c r="D229" t="s">
        <v>271</v>
      </c>
      <c r="E229" t="s">
        <v>270</v>
      </c>
      <c r="F229">
        <v>867</v>
      </c>
      <c r="G229" t="s">
        <v>979</v>
      </c>
      <c r="H229" t="s">
        <v>980</v>
      </c>
      <c r="I229" t="s">
        <v>981</v>
      </c>
      <c r="J229" t="s">
        <v>982</v>
      </c>
      <c r="K229">
        <v>45.9</v>
      </c>
      <c r="L229" t="s">
        <v>276</v>
      </c>
      <c r="M229">
        <f>Table1[[#This Row],[Sales Volume]]*Table1[[#This Row],[price(USD)]]</f>
        <v>39795.299999999996</v>
      </c>
      <c r="N229" t="s">
        <v>893</v>
      </c>
      <c r="O229" t="s">
        <v>894</v>
      </c>
      <c r="P229" t="str">
        <f>HYPERLINK(Table1[[#This Row],[url]],Table1[[#This Row],[name]])</f>
        <v>KNIT V-NECK SWEATER</v>
      </c>
      <c r="Q229" t="str">
        <f>IF(Table1[[#This Row],[price(USD)]]&gt;295.33,"Premimum",IF(Table1[[#This Row],[price(USD)]]&gt;151.66,"Mid Range","Budget"))</f>
        <v>Budget</v>
      </c>
      <c r="R229" t="str">
        <f>IF(Table1[[#This Row],[Sales Volume]]&gt;2169,"Best Seller",IF(Table1[[#This Row],[Sales Volume]]&gt;1349,"Average","Slow seller"))</f>
        <v>Slow seller</v>
      </c>
    </row>
    <row r="230" spans="1:18">
      <c r="A230">
        <v>185154</v>
      </c>
      <c r="B230" t="s">
        <v>269</v>
      </c>
      <c r="C230" t="s">
        <v>287</v>
      </c>
      <c r="D230" t="s">
        <v>271</v>
      </c>
      <c r="E230" t="s">
        <v>270</v>
      </c>
      <c r="F230">
        <v>996</v>
      </c>
      <c r="G230" t="s">
        <v>1130</v>
      </c>
      <c r="H230" t="s">
        <v>1131</v>
      </c>
      <c r="I230" t="s">
        <v>1132</v>
      </c>
      <c r="J230" t="s">
        <v>1133</v>
      </c>
      <c r="K230">
        <v>39.9</v>
      </c>
      <c r="L230" t="s">
        <v>276</v>
      </c>
      <c r="M230">
        <f>Table1[[#This Row],[Sales Volume]]*Table1[[#This Row],[price(USD)]]</f>
        <v>39740.400000000001</v>
      </c>
      <c r="N230" t="s">
        <v>1093</v>
      </c>
      <c r="O230" t="s">
        <v>278</v>
      </c>
      <c r="P230" t="str">
        <f>HYPERLINK(Table1[[#This Row],[url]],Table1[[#This Row],[name]])</f>
        <v>ABSTRACT PRINT T-SHIRT</v>
      </c>
      <c r="Q230" t="str">
        <f>IF(Table1[[#This Row],[price(USD)]]&gt;295.33,"Premimum",IF(Table1[[#This Row],[price(USD)]]&gt;151.66,"Mid Range","Budget"))</f>
        <v>Budget</v>
      </c>
      <c r="R230" t="str">
        <f>IF(Table1[[#This Row],[Sales Volume]]&gt;2169,"Best Seller",IF(Table1[[#This Row],[Sales Volume]]&gt;1349,"Average","Slow seller"))</f>
        <v>Slow seller</v>
      </c>
    </row>
    <row r="231" spans="1:18">
      <c r="A231">
        <v>170364</v>
      </c>
      <c r="B231" t="s">
        <v>269</v>
      </c>
      <c r="C231" t="s">
        <v>270</v>
      </c>
      <c r="D231" t="s">
        <v>271</v>
      </c>
      <c r="E231" t="s">
        <v>270</v>
      </c>
      <c r="F231">
        <v>818</v>
      </c>
      <c r="G231" t="s">
        <v>827</v>
      </c>
      <c r="H231" t="s">
        <v>828</v>
      </c>
      <c r="I231" t="s">
        <v>829</v>
      </c>
      <c r="J231" t="s">
        <v>830</v>
      </c>
      <c r="K231">
        <v>45.9</v>
      </c>
      <c r="L231" t="s">
        <v>276</v>
      </c>
      <c r="M231">
        <f>Table1[[#This Row],[Sales Volume]]*Table1[[#This Row],[price(USD)]]</f>
        <v>37546.199999999997</v>
      </c>
      <c r="N231" t="s">
        <v>774</v>
      </c>
      <c r="O231" t="s">
        <v>278</v>
      </c>
      <c r="P231" t="str">
        <f>HYPERLINK(Table1[[#This Row],[url]],Table1[[#This Row],[name]])</f>
        <v>STRAP SANDALS</v>
      </c>
      <c r="Q231" t="str">
        <f>IF(Table1[[#This Row],[price(USD)]]&gt;295.33,"Premimum",IF(Table1[[#This Row],[price(USD)]]&gt;151.66,"Mid Range","Budget"))</f>
        <v>Budget</v>
      </c>
      <c r="R231" t="str">
        <f>IF(Table1[[#This Row],[Sales Volume]]&gt;2169,"Best Seller",IF(Table1[[#This Row],[Sales Volume]]&gt;1349,"Average","Slow seller"))</f>
        <v>Slow seller</v>
      </c>
    </row>
    <row r="232" spans="1:18">
      <c r="A232">
        <v>136272</v>
      </c>
      <c r="B232" t="s">
        <v>286</v>
      </c>
      <c r="C232" t="s">
        <v>270</v>
      </c>
      <c r="D232" t="s">
        <v>271</v>
      </c>
      <c r="E232" t="s">
        <v>287</v>
      </c>
      <c r="F232">
        <v>2887</v>
      </c>
      <c r="G232" t="s">
        <v>1073</v>
      </c>
      <c r="H232" t="s">
        <v>1074</v>
      </c>
      <c r="I232" t="s">
        <v>1075</v>
      </c>
      <c r="J232" t="s">
        <v>1076</v>
      </c>
      <c r="K232">
        <v>12.99</v>
      </c>
      <c r="L232" t="s">
        <v>276</v>
      </c>
      <c r="M232">
        <f>Table1[[#This Row],[Sales Volume]]*Table1[[#This Row],[price(USD)]]</f>
        <v>37502.129999999997</v>
      </c>
      <c r="N232" t="s">
        <v>893</v>
      </c>
      <c r="O232" t="s">
        <v>278</v>
      </c>
      <c r="P232" t="str">
        <f>HYPERLINK(Table1[[#This Row],[url]],Table1[[#This Row],[name]])</f>
        <v>PURL KNIT SWEATER</v>
      </c>
      <c r="Q232" t="str">
        <f>IF(Table1[[#This Row],[price(USD)]]&gt;295.33,"Premimum",IF(Table1[[#This Row],[price(USD)]]&gt;151.66,"Mid Range","Budget"))</f>
        <v>Budget</v>
      </c>
      <c r="R232" t="str">
        <f>IF(Table1[[#This Row],[Sales Volume]]&gt;2169,"Best Seller",IF(Table1[[#This Row],[Sales Volume]]&gt;1349,"Average","Slow seller"))</f>
        <v>Best Seller</v>
      </c>
    </row>
    <row r="233" spans="1:18">
      <c r="A233">
        <v>154846</v>
      </c>
      <c r="B233" t="s">
        <v>286</v>
      </c>
      <c r="C233" t="s">
        <v>287</v>
      </c>
      <c r="D233" t="s">
        <v>271</v>
      </c>
      <c r="E233" t="s">
        <v>270</v>
      </c>
      <c r="F233">
        <v>917</v>
      </c>
      <c r="G233" t="s">
        <v>1110</v>
      </c>
      <c r="H233" t="s">
        <v>1111</v>
      </c>
      <c r="I233" t="s">
        <v>1112</v>
      </c>
      <c r="J233" t="s">
        <v>1113</v>
      </c>
      <c r="K233">
        <v>39.9</v>
      </c>
      <c r="L233" t="s">
        <v>276</v>
      </c>
      <c r="M233">
        <f>Table1[[#This Row],[Sales Volume]]*Table1[[#This Row],[price(USD)]]</f>
        <v>36588.299999999996</v>
      </c>
      <c r="N233" t="s">
        <v>1093</v>
      </c>
      <c r="O233" t="s">
        <v>278</v>
      </c>
      <c r="P233" t="str">
        <f>HYPERLINK(Table1[[#This Row],[url]],Table1[[#This Row],[name]])</f>
        <v>PRINTED CROPPED FIT SHIRT LIMITED EDITION</v>
      </c>
      <c r="Q233" t="str">
        <f>IF(Table1[[#This Row],[price(USD)]]&gt;295.33,"Premimum",IF(Table1[[#This Row],[price(USD)]]&gt;151.66,"Mid Range","Budget"))</f>
        <v>Budget</v>
      </c>
      <c r="R233" t="str">
        <f>IF(Table1[[#This Row],[Sales Volume]]&gt;2169,"Best Seller",IF(Table1[[#This Row],[Sales Volume]]&gt;1349,"Average","Slow seller"))</f>
        <v>Slow seller</v>
      </c>
    </row>
    <row r="234" spans="1:18">
      <c r="A234">
        <v>199279</v>
      </c>
      <c r="B234" t="s">
        <v>269</v>
      </c>
      <c r="C234" t="s">
        <v>270</v>
      </c>
      <c r="D234" t="s">
        <v>271</v>
      </c>
      <c r="E234" t="s">
        <v>270</v>
      </c>
      <c r="F234">
        <v>1770</v>
      </c>
      <c r="G234" t="s">
        <v>625</v>
      </c>
      <c r="H234" t="s">
        <v>626</v>
      </c>
      <c r="I234" t="s">
        <v>627</v>
      </c>
      <c r="J234" t="s">
        <v>628</v>
      </c>
      <c r="K234">
        <v>19.989999999999998</v>
      </c>
      <c r="L234" t="s">
        <v>276</v>
      </c>
      <c r="M234">
        <f>Table1[[#This Row],[Sales Volume]]*Table1[[#This Row],[price(USD)]]</f>
        <v>35382.299999999996</v>
      </c>
      <c r="N234" t="s">
        <v>277</v>
      </c>
      <c r="O234" t="s">
        <v>278</v>
      </c>
      <c r="P234" t="str">
        <f>HYPERLINK(Table1[[#This Row],[url]],Table1[[#This Row],[name]])</f>
        <v>HOODED TECHNICAL JACKET</v>
      </c>
      <c r="Q234" t="str">
        <f>IF(Table1[[#This Row],[price(USD)]]&gt;295.33,"Premimum",IF(Table1[[#This Row],[price(USD)]]&gt;151.66,"Mid Range","Budget"))</f>
        <v>Budget</v>
      </c>
      <c r="R234" t="str">
        <f>IF(Table1[[#This Row],[Sales Volume]]&gt;2169,"Best Seller",IF(Table1[[#This Row],[Sales Volume]]&gt;1349,"Average","Slow seller"))</f>
        <v>Average</v>
      </c>
    </row>
    <row r="235" spans="1:18">
      <c r="A235">
        <v>147690</v>
      </c>
      <c r="B235" t="s">
        <v>269</v>
      </c>
      <c r="C235" t="s">
        <v>287</v>
      </c>
      <c r="D235" t="s">
        <v>271</v>
      </c>
      <c r="E235" t="s">
        <v>270</v>
      </c>
      <c r="F235">
        <v>881</v>
      </c>
      <c r="G235" t="s">
        <v>1149</v>
      </c>
      <c r="H235" t="s">
        <v>1150</v>
      </c>
      <c r="I235" t="s">
        <v>1151</v>
      </c>
      <c r="J235" t="s">
        <v>1152</v>
      </c>
      <c r="K235">
        <v>39.9</v>
      </c>
      <c r="L235" t="s">
        <v>276</v>
      </c>
      <c r="M235">
        <f>Table1[[#This Row],[Sales Volume]]*Table1[[#This Row],[price(USD)]]</f>
        <v>35151.9</v>
      </c>
      <c r="N235" t="s">
        <v>1093</v>
      </c>
      <c r="O235" t="s">
        <v>278</v>
      </c>
      <c r="P235" t="str">
        <f>HYPERLINK(Table1[[#This Row],[url]],Table1[[#This Row],[name]])</f>
        <v>STRIPED JACQUARD T-SHIRT</v>
      </c>
      <c r="Q235" t="str">
        <f>IF(Table1[[#This Row],[price(USD)]]&gt;295.33,"Premimum",IF(Table1[[#This Row],[price(USD)]]&gt;151.66,"Mid Range","Budget"))</f>
        <v>Budget</v>
      </c>
      <c r="R235" t="str">
        <f>IF(Table1[[#This Row],[Sales Volume]]&gt;2169,"Best Seller",IF(Table1[[#This Row],[Sales Volume]]&gt;1349,"Average","Slow seller"))</f>
        <v>Slow seller</v>
      </c>
    </row>
    <row r="236" spans="1:18">
      <c r="A236">
        <v>122307</v>
      </c>
      <c r="B236" t="s">
        <v>286</v>
      </c>
      <c r="C236" t="s">
        <v>270</v>
      </c>
      <c r="D236" t="s">
        <v>271</v>
      </c>
      <c r="E236" t="s">
        <v>270</v>
      </c>
      <c r="F236">
        <v>702</v>
      </c>
      <c r="G236" t="s">
        <v>1114</v>
      </c>
      <c r="H236" t="s">
        <v>1115</v>
      </c>
      <c r="I236" t="s">
        <v>1116</v>
      </c>
      <c r="J236" t="s">
        <v>1117</v>
      </c>
      <c r="K236">
        <v>49.9</v>
      </c>
      <c r="L236" t="s">
        <v>276</v>
      </c>
      <c r="M236">
        <f>Table1[[#This Row],[Sales Volume]]*Table1[[#This Row],[price(USD)]]</f>
        <v>35029.799999999996</v>
      </c>
      <c r="N236" t="s">
        <v>1093</v>
      </c>
      <c r="O236" t="s">
        <v>278</v>
      </c>
      <c r="P236" t="str">
        <f>HYPERLINK(Table1[[#This Row],[url]],Table1[[#This Row],[name]])</f>
        <v>RIBBED KNIT T-SHIRT</v>
      </c>
      <c r="Q236" t="str">
        <f>IF(Table1[[#This Row],[price(USD)]]&gt;295.33,"Premimum",IF(Table1[[#This Row],[price(USD)]]&gt;151.66,"Mid Range","Budget"))</f>
        <v>Budget</v>
      </c>
      <c r="R236" t="str">
        <f>IF(Table1[[#This Row],[Sales Volume]]&gt;2169,"Best Seller",IF(Table1[[#This Row],[Sales Volume]]&gt;1349,"Average","Slow seller"))</f>
        <v>Slow seller</v>
      </c>
    </row>
    <row r="237" spans="1:18">
      <c r="A237">
        <v>186681</v>
      </c>
      <c r="B237" t="s">
        <v>286</v>
      </c>
      <c r="C237" t="s">
        <v>270</v>
      </c>
      <c r="D237" t="s">
        <v>271</v>
      </c>
      <c r="E237" t="s">
        <v>287</v>
      </c>
      <c r="F237">
        <v>1717</v>
      </c>
      <c r="G237" t="s">
        <v>490</v>
      </c>
      <c r="H237" t="s">
        <v>491</v>
      </c>
      <c r="I237" t="s">
        <v>492</v>
      </c>
      <c r="J237" t="s">
        <v>493</v>
      </c>
      <c r="K237">
        <v>19.989999999999998</v>
      </c>
      <c r="L237" t="s">
        <v>276</v>
      </c>
      <c r="M237">
        <f>Table1[[#This Row],[Sales Volume]]*Table1[[#This Row],[price(USD)]]</f>
        <v>34322.829999999994</v>
      </c>
      <c r="N237" t="s">
        <v>277</v>
      </c>
      <c r="O237" t="s">
        <v>278</v>
      </c>
      <c r="P237" t="str">
        <f>HYPERLINK(Table1[[#This Row],[url]],Table1[[#This Row],[name]])</f>
        <v>LIGHTWEIGHT PUFFER JACKET</v>
      </c>
      <c r="Q237" t="str">
        <f>IF(Table1[[#This Row],[price(USD)]]&gt;295.33,"Premimum",IF(Table1[[#This Row],[price(USD)]]&gt;151.66,"Mid Range","Budget"))</f>
        <v>Budget</v>
      </c>
      <c r="R237" t="str">
        <f>IF(Table1[[#This Row],[Sales Volume]]&gt;2169,"Best Seller",IF(Table1[[#This Row],[Sales Volume]]&gt;1349,"Average","Slow seller"))</f>
        <v>Average</v>
      </c>
    </row>
    <row r="238" spans="1:18">
      <c r="A238">
        <v>155010</v>
      </c>
      <c r="B238" t="s">
        <v>269</v>
      </c>
      <c r="C238" t="s">
        <v>287</v>
      </c>
      <c r="D238" t="s">
        <v>271</v>
      </c>
      <c r="E238" t="s">
        <v>287</v>
      </c>
      <c r="F238">
        <v>729</v>
      </c>
      <c r="G238" t="s">
        <v>1141</v>
      </c>
      <c r="H238" t="s">
        <v>1142</v>
      </c>
      <c r="I238" t="s">
        <v>1143</v>
      </c>
      <c r="J238" t="s">
        <v>1144</v>
      </c>
      <c r="K238">
        <v>45.9</v>
      </c>
      <c r="L238" t="s">
        <v>276</v>
      </c>
      <c r="M238">
        <f>Table1[[#This Row],[Sales Volume]]*Table1[[#This Row],[price(USD)]]</f>
        <v>33461.1</v>
      </c>
      <c r="N238" t="s">
        <v>1093</v>
      </c>
      <c r="O238" t="s">
        <v>278</v>
      </c>
      <c r="P238" t="str">
        <f>HYPERLINK(Table1[[#This Row],[url]],Table1[[#This Row],[name]])</f>
        <v>SEMI-SHEER KNIT SHIRT LIMITED EDITION</v>
      </c>
      <c r="Q238" t="str">
        <f>IF(Table1[[#This Row],[price(USD)]]&gt;295.33,"Premimum",IF(Table1[[#This Row],[price(USD)]]&gt;151.66,"Mid Range","Budget"))</f>
        <v>Budget</v>
      </c>
      <c r="R238" t="str">
        <f>IF(Table1[[#This Row],[Sales Volume]]&gt;2169,"Best Seller",IF(Table1[[#This Row],[Sales Volume]]&gt;1349,"Average","Slow seller"))</f>
        <v>Slow seller</v>
      </c>
    </row>
    <row r="239" spans="1:18">
      <c r="A239">
        <v>137044</v>
      </c>
      <c r="B239" t="s">
        <v>269</v>
      </c>
      <c r="C239" t="s">
        <v>270</v>
      </c>
      <c r="D239" t="s">
        <v>271</v>
      </c>
      <c r="E239" t="s">
        <v>287</v>
      </c>
      <c r="F239">
        <v>2534</v>
      </c>
      <c r="G239" t="s">
        <v>625</v>
      </c>
      <c r="H239" t="s">
        <v>771</v>
      </c>
      <c r="I239" t="s">
        <v>389</v>
      </c>
      <c r="J239" t="s">
        <v>406</v>
      </c>
      <c r="K239">
        <v>12.99</v>
      </c>
      <c r="L239" t="s">
        <v>276</v>
      </c>
      <c r="M239">
        <f>Table1[[#This Row],[Sales Volume]]*Table1[[#This Row],[price(USD)]]</f>
        <v>32916.660000000003</v>
      </c>
      <c r="N239" t="s">
        <v>277</v>
      </c>
      <c r="O239" t="s">
        <v>278</v>
      </c>
      <c r="P239" t="str">
        <f>HYPERLINK(Table1[[#This Row],[url]],Table1[[#This Row],[name]])</f>
        <v>PATCH BOMBER JACKET</v>
      </c>
      <c r="Q239" t="str">
        <f>IF(Table1[[#This Row],[price(USD)]]&gt;295.33,"Premimum",IF(Table1[[#This Row],[price(USD)]]&gt;151.66,"Mid Range","Budget"))</f>
        <v>Budget</v>
      </c>
      <c r="R239" t="str">
        <f>IF(Table1[[#This Row],[Sales Volume]]&gt;2169,"Best Seller",IF(Table1[[#This Row],[Sales Volume]]&gt;1349,"Average","Slow seller"))</f>
        <v>Best Seller</v>
      </c>
    </row>
    <row r="240" spans="1:18">
      <c r="A240">
        <v>174708</v>
      </c>
      <c r="B240" t="s">
        <v>307</v>
      </c>
      <c r="C240" t="s">
        <v>270</v>
      </c>
      <c r="D240" t="s">
        <v>271</v>
      </c>
      <c r="E240" t="s">
        <v>287</v>
      </c>
      <c r="F240">
        <v>529</v>
      </c>
      <c r="G240" t="s">
        <v>1085</v>
      </c>
      <c r="H240" t="s">
        <v>1086</v>
      </c>
      <c r="I240" t="s">
        <v>1087</v>
      </c>
      <c r="J240" t="s">
        <v>1088</v>
      </c>
      <c r="K240">
        <v>59.9</v>
      </c>
      <c r="L240" t="s">
        <v>276</v>
      </c>
      <c r="M240">
        <f>Table1[[#This Row],[Sales Volume]]*Table1[[#This Row],[price(USD)]]</f>
        <v>31687.1</v>
      </c>
      <c r="N240" t="s">
        <v>893</v>
      </c>
      <c r="O240" t="s">
        <v>278</v>
      </c>
      <c r="P240" t="str">
        <f>HYPERLINK(Table1[[#This Row],[url]],Table1[[#This Row],[name]])</f>
        <v>ABSTRACT JACQUARD SWEATER</v>
      </c>
      <c r="Q240" t="str">
        <f>IF(Table1[[#This Row],[price(USD)]]&gt;295.33,"Premimum",IF(Table1[[#This Row],[price(USD)]]&gt;151.66,"Mid Range","Budget"))</f>
        <v>Budget</v>
      </c>
      <c r="R240" t="str">
        <f>IF(Table1[[#This Row],[Sales Volume]]&gt;2169,"Best Seller",IF(Table1[[#This Row],[Sales Volume]]&gt;1349,"Average","Slow seller"))</f>
        <v>Slow seller</v>
      </c>
    </row>
    <row r="241" spans="1:18">
      <c r="A241">
        <v>186083</v>
      </c>
      <c r="B241" t="s">
        <v>286</v>
      </c>
      <c r="C241" t="s">
        <v>270</v>
      </c>
      <c r="D241" t="s">
        <v>271</v>
      </c>
      <c r="E241" t="s">
        <v>287</v>
      </c>
      <c r="F241">
        <v>624</v>
      </c>
      <c r="G241" t="s">
        <v>1057</v>
      </c>
      <c r="H241" t="s">
        <v>1058</v>
      </c>
      <c r="I241" t="s">
        <v>1059</v>
      </c>
      <c r="J241" t="s">
        <v>1060</v>
      </c>
      <c r="K241">
        <v>49.9</v>
      </c>
      <c r="L241" t="s">
        <v>276</v>
      </c>
      <c r="M241">
        <f>Table1[[#This Row],[Sales Volume]]*Table1[[#This Row],[price(USD)]]</f>
        <v>31137.599999999999</v>
      </c>
      <c r="N241" t="s">
        <v>1042</v>
      </c>
      <c r="O241" t="s">
        <v>278</v>
      </c>
      <c r="P241" t="str">
        <f>HYPERLINK(Table1[[#This Row],[url]],Table1[[#This Row],[name]])</f>
        <v>PLEATED WIDE FIT JEANS</v>
      </c>
      <c r="Q241" t="str">
        <f>IF(Table1[[#This Row],[price(USD)]]&gt;295.33,"Premimum",IF(Table1[[#This Row],[price(USD)]]&gt;151.66,"Mid Range","Budget"))</f>
        <v>Budget</v>
      </c>
      <c r="R241" t="str">
        <f>IF(Table1[[#This Row],[Sales Volume]]&gt;2169,"Best Seller",IF(Table1[[#This Row],[Sales Volume]]&gt;1349,"Average","Slow seller"))</f>
        <v>Slow seller</v>
      </c>
    </row>
    <row r="242" spans="1:18">
      <c r="A242">
        <v>185809</v>
      </c>
      <c r="B242" t="s">
        <v>286</v>
      </c>
      <c r="C242" t="s">
        <v>270</v>
      </c>
      <c r="D242" t="s">
        <v>271</v>
      </c>
      <c r="E242" t="s">
        <v>270</v>
      </c>
      <c r="F242">
        <v>622</v>
      </c>
      <c r="G242" t="s">
        <v>971</v>
      </c>
      <c r="H242" t="s">
        <v>972</v>
      </c>
      <c r="I242" t="s">
        <v>973</v>
      </c>
      <c r="J242" t="s">
        <v>974</v>
      </c>
      <c r="K242">
        <v>49.9</v>
      </c>
      <c r="L242" t="s">
        <v>276</v>
      </c>
      <c r="M242">
        <f>Table1[[#This Row],[Sales Volume]]*Table1[[#This Row],[price(USD)]]</f>
        <v>31037.8</v>
      </c>
      <c r="N242" t="s">
        <v>893</v>
      </c>
      <c r="O242" t="s">
        <v>894</v>
      </c>
      <c r="P242" t="str">
        <f>HYPERLINK(Table1[[#This Row],[url]],Table1[[#This Row],[name]])</f>
        <v>KNIT SWEATER WITH RIPS</v>
      </c>
      <c r="Q242" t="str">
        <f>IF(Table1[[#This Row],[price(USD)]]&gt;295.33,"Premimum",IF(Table1[[#This Row],[price(USD)]]&gt;151.66,"Mid Range","Budget"))</f>
        <v>Budget</v>
      </c>
      <c r="R242" t="str">
        <f>IF(Table1[[#This Row],[Sales Volume]]&gt;2169,"Best Seller",IF(Table1[[#This Row],[Sales Volume]]&gt;1349,"Average","Slow seller"))</f>
        <v>Slow seller</v>
      </c>
    </row>
    <row r="243" spans="1:18">
      <c r="A243">
        <v>140142</v>
      </c>
      <c r="B243" t="s">
        <v>307</v>
      </c>
      <c r="C243" t="s">
        <v>287</v>
      </c>
      <c r="D243" t="s">
        <v>271</v>
      </c>
      <c r="E243" t="s">
        <v>270</v>
      </c>
      <c r="F243">
        <v>606</v>
      </c>
      <c r="G243" t="s">
        <v>1019</v>
      </c>
      <c r="H243" t="s">
        <v>1020</v>
      </c>
      <c r="I243" t="s">
        <v>1021</v>
      </c>
      <c r="J243" t="s">
        <v>1022</v>
      </c>
      <c r="K243">
        <v>49.9</v>
      </c>
      <c r="L243" t="s">
        <v>276</v>
      </c>
      <c r="M243">
        <f>Table1[[#This Row],[Sales Volume]]*Table1[[#This Row],[price(USD)]]</f>
        <v>30239.399999999998</v>
      </c>
      <c r="N243" t="s">
        <v>893</v>
      </c>
      <c r="O243" t="s">
        <v>894</v>
      </c>
      <c r="P243" t="str">
        <f>HYPERLINK(Table1[[#This Row],[url]],Table1[[#This Row],[name]])</f>
        <v>KNIT OPEN BACK PEARLY SWEATER</v>
      </c>
      <c r="Q243" t="str">
        <f>IF(Table1[[#This Row],[price(USD)]]&gt;295.33,"Premimum",IF(Table1[[#This Row],[price(USD)]]&gt;151.66,"Mid Range","Budget"))</f>
        <v>Budget</v>
      </c>
      <c r="R243" t="str">
        <f>IF(Table1[[#This Row],[Sales Volume]]&gt;2169,"Best Seller",IF(Table1[[#This Row],[Sales Volume]]&gt;1349,"Average","Slow seller"))</f>
        <v>Slow seller</v>
      </c>
    </row>
    <row r="244" spans="1:18">
      <c r="A244">
        <v>154736</v>
      </c>
      <c r="B244" t="s">
        <v>307</v>
      </c>
      <c r="C244" t="s">
        <v>287</v>
      </c>
      <c r="D244" t="s">
        <v>271</v>
      </c>
      <c r="E244" t="s">
        <v>287</v>
      </c>
      <c r="F244">
        <v>1466</v>
      </c>
      <c r="G244" t="s">
        <v>629</v>
      </c>
      <c r="H244" t="s">
        <v>776</v>
      </c>
      <c r="I244" t="s">
        <v>412</v>
      </c>
      <c r="J244" t="s">
        <v>409</v>
      </c>
      <c r="K244">
        <v>19.899999999999999</v>
      </c>
      <c r="L244" t="s">
        <v>276</v>
      </c>
      <c r="M244">
        <f>Table1[[#This Row],[Sales Volume]]*Table1[[#This Row],[price(USD)]]</f>
        <v>29173.399999999998</v>
      </c>
      <c r="N244" t="s">
        <v>277</v>
      </c>
      <c r="O244" t="s">
        <v>278</v>
      </c>
      <c r="P244" t="str">
        <f>HYPERLINK(Table1[[#This Row],[url]],Table1[[#This Row],[name]])</f>
        <v>CROPPED BOMBER JACKET LIMITED EDITION</v>
      </c>
      <c r="Q244" t="str">
        <f>IF(Table1[[#This Row],[price(USD)]]&gt;295.33,"Premimum",IF(Table1[[#This Row],[price(USD)]]&gt;151.66,"Mid Range","Budget"))</f>
        <v>Budget</v>
      </c>
      <c r="R244" t="str">
        <f>IF(Table1[[#This Row],[Sales Volume]]&gt;2169,"Best Seller",IF(Table1[[#This Row],[Sales Volume]]&gt;1349,"Average","Slow seller"))</f>
        <v>Average</v>
      </c>
    </row>
    <row r="245" spans="1:18">
      <c r="A245">
        <v>132322</v>
      </c>
      <c r="B245" t="s">
        <v>307</v>
      </c>
      <c r="C245" t="s">
        <v>287</v>
      </c>
      <c r="D245" t="s">
        <v>271</v>
      </c>
      <c r="E245" t="s">
        <v>270</v>
      </c>
      <c r="F245">
        <v>2135</v>
      </c>
      <c r="G245" t="s">
        <v>677</v>
      </c>
      <c r="H245" t="s">
        <v>678</v>
      </c>
      <c r="I245" t="s">
        <v>679</v>
      </c>
      <c r="J245" t="s">
        <v>680</v>
      </c>
      <c r="K245">
        <v>12.99</v>
      </c>
      <c r="L245" t="s">
        <v>276</v>
      </c>
      <c r="M245">
        <f>Table1[[#This Row],[Sales Volume]]*Table1[[#This Row],[price(USD)]]</f>
        <v>27733.65</v>
      </c>
      <c r="N245" t="s">
        <v>277</v>
      </c>
      <c r="O245" t="s">
        <v>278</v>
      </c>
      <c r="P245" t="str">
        <f>HYPERLINK(Table1[[#This Row],[url]],Table1[[#This Row],[name]])</f>
        <v>PRINTED DENIM OVERSHIRT</v>
      </c>
      <c r="Q245" t="str">
        <f>IF(Table1[[#This Row],[price(USD)]]&gt;295.33,"Premimum",IF(Table1[[#This Row],[price(USD)]]&gt;151.66,"Mid Range","Budget"))</f>
        <v>Budget</v>
      </c>
      <c r="R245" t="str">
        <f>IF(Table1[[#This Row],[Sales Volume]]&gt;2169,"Best Seller",IF(Table1[[#This Row],[Sales Volume]]&gt;1349,"Average","Slow seller"))</f>
        <v>Average</v>
      </c>
    </row>
    <row r="246" spans="1:18">
      <c r="A246">
        <v>122484</v>
      </c>
      <c r="B246" t="s">
        <v>269</v>
      </c>
      <c r="C246" t="s">
        <v>287</v>
      </c>
      <c r="D246" t="s">
        <v>271</v>
      </c>
      <c r="E246" t="s">
        <v>287</v>
      </c>
      <c r="F246">
        <v>558</v>
      </c>
      <c r="G246" t="s">
        <v>999</v>
      </c>
      <c r="H246" t="s">
        <v>1000</v>
      </c>
      <c r="I246" t="s">
        <v>1001</v>
      </c>
      <c r="J246" t="s">
        <v>1002</v>
      </c>
      <c r="K246">
        <v>47.9</v>
      </c>
      <c r="L246" t="s">
        <v>276</v>
      </c>
      <c r="M246">
        <f>Table1[[#This Row],[Sales Volume]]*Table1[[#This Row],[price(USD)]]</f>
        <v>26728.2</v>
      </c>
      <c r="N246" t="s">
        <v>893</v>
      </c>
      <c r="O246" t="s">
        <v>894</v>
      </c>
      <c r="P246" t="str">
        <f>HYPERLINK(Table1[[#This Row],[url]],Table1[[#This Row],[name]])</f>
        <v>V-NECK KNIT SWEATER</v>
      </c>
      <c r="Q246" t="str">
        <f>IF(Table1[[#This Row],[price(USD)]]&gt;295.33,"Premimum",IF(Table1[[#This Row],[price(USD)]]&gt;151.66,"Mid Range","Budget"))</f>
        <v>Budget</v>
      </c>
      <c r="R246" t="str">
        <f>IF(Table1[[#This Row],[Sales Volume]]&gt;2169,"Best Seller",IF(Table1[[#This Row],[Sales Volume]]&gt;1349,"Average","Slow seller"))</f>
        <v>Slow seller</v>
      </c>
    </row>
    <row r="247" spans="1:18">
      <c r="A247">
        <v>147998</v>
      </c>
      <c r="B247" t="s">
        <v>269</v>
      </c>
      <c r="C247" t="s">
        <v>270</v>
      </c>
      <c r="D247" t="s">
        <v>271</v>
      </c>
      <c r="E247" t="s">
        <v>270</v>
      </c>
      <c r="F247">
        <v>2556</v>
      </c>
      <c r="G247" t="s">
        <v>811</v>
      </c>
      <c r="H247" t="s">
        <v>812</v>
      </c>
      <c r="I247" t="s">
        <v>813</v>
      </c>
      <c r="J247" t="s">
        <v>814</v>
      </c>
      <c r="K247">
        <v>9.99</v>
      </c>
      <c r="L247" t="s">
        <v>276</v>
      </c>
      <c r="M247">
        <f>Table1[[#This Row],[Sales Volume]]*Table1[[#This Row],[price(USD)]]</f>
        <v>25534.440000000002</v>
      </c>
      <c r="N247" t="s">
        <v>774</v>
      </c>
      <c r="O247" t="s">
        <v>278</v>
      </c>
      <c r="P247" t="str">
        <f>HYPERLINK(Table1[[#This Row],[url]],Table1[[#This Row],[name]])</f>
        <v>RETRO HIGH TOP SNEAKERS</v>
      </c>
      <c r="Q247" t="str">
        <f>IF(Table1[[#This Row],[price(USD)]]&gt;295.33,"Premimum",IF(Table1[[#This Row],[price(USD)]]&gt;151.66,"Mid Range","Budget"))</f>
        <v>Budget</v>
      </c>
      <c r="R247" t="str">
        <f>IF(Table1[[#This Row],[Sales Volume]]&gt;2169,"Best Seller",IF(Table1[[#This Row],[Sales Volume]]&gt;1349,"Average","Slow seller"))</f>
        <v>Best Seller</v>
      </c>
    </row>
    <row r="248" spans="1:18">
      <c r="A248">
        <v>132007</v>
      </c>
      <c r="B248" t="s">
        <v>269</v>
      </c>
      <c r="C248" t="s">
        <v>270</v>
      </c>
      <c r="D248" t="s">
        <v>271</v>
      </c>
      <c r="E248" t="s">
        <v>287</v>
      </c>
      <c r="F248">
        <v>2491</v>
      </c>
      <c r="G248" t="s">
        <v>807</v>
      </c>
      <c r="H248" t="s">
        <v>808</v>
      </c>
      <c r="I248" t="s">
        <v>809</v>
      </c>
      <c r="J248" t="s">
        <v>810</v>
      </c>
      <c r="K248">
        <v>9.99</v>
      </c>
      <c r="L248" t="s">
        <v>276</v>
      </c>
      <c r="M248">
        <f>Table1[[#This Row],[Sales Volume]]*Table1[[#This Row],[price(USD)]]</f>
        <v>24885.09</v>
      </c>
      <c r="N248" t="s">
        <v>774</v>
      </c>
      <c r="O248" t="s">
        <v>278</v>
      </c>
      <c r="P248" t="str">
        <f>HYPERLINK(Table1[[#This Row],[url]],Table1[[#This Row],[name]])</f>
        <v>RETRO SNEAKERS</v>
      </c>
      <c r="Q248" t="str">
        <f>IF(Table1[[#This Row],[price(USD)]]&gt;295.33,"Premimum",IF(Table1[[#This Row],[price(USD)]]&gt;151.66,"Mid Range","Budget"))</f>
        <v>Budget</v>
      </c>
      <c r="R248" t="str">
        <f>IF(Table1[[#This Row],[Sales Volume]]&gt;2169,"Best Seller",IF(Table1[[#This Row],[Sales Volume]]&gt;1349,"Average","Slow seller"))</f>
        <v>Best Seller</v>
      </c>
    </row>
    <row r="249" spans="1:18">
      <c r="A249">
        <v>142257</v>
      </c>
      <c r="B249" t="s">
        <v>269</v>
      </c>
      <c r="C249" t="s">
        <v>287</v>
      </c>
      <c r="D249" t="s">
        <v>271</v>
      </c>
      <c r="E249" t="s">
        <v>287</v>
      </c>
      <c r="F249">
        <v>1180</v>
      </c>
      <c r="G249" t="s">
        <v>1089</v>
      </c>
      <c r="H249" t="s">
        <v>1090</v>
      </c>
      <c r="I249" t="s">
        <v>1091</v>
      </c>
      <c r="J249" t="s">
        <v>1092</v>
      </c>
      <c r="K249">
        <v>19.899999999999999</v>
      </c>
      <c r="L249" t="s">
        <v>276</v>
      </c>
      <c r="M249">
        <f>Table1[[#This Row],[Sales Volume]]*Table1[[#This Row],[price(USD)]]</f>
        <v>23482</v>
      </c>
      <c r="N249" t="s">
        <v>1093</v>
      </c>
      <c r="O249" t="s">
        <v>278</v>
      </c>
      <c r="P249" t="str">
        <f>HYPERLINK(Table1[[#This Row],[url]],Table1[[#This Row],[name]])</f>
        <v>BASIC SLIM FIT T-SHIRT</v>
      </c>
      <c r="Q249" t="str">
        <f>IF(Table1[[#This Row],[price(USD)]]&gt;295.33,"Premimum",IF(Table1[[#This Row],[price(USD)]]&gt;151.66,"Mid Range","Budget"))</f>
        <v>Budget</v>
      </c>
      <c r="R249" t="str">
        <f>IF(Table1[[#This Row],[Sales Volume]]&gt;2169,"Best Seller",IF(Table1[[#This Row],[Sales Volume]]&gt;1349,"Average","Slow seller"))</f>
        <v>Slow seller</v>
      </c>
    </row>
    <row r="250" spans="1:18">
      <c r="A250">
        <v>185774</v>
      </c>
      <c r="B250" t="s">
        <v>286</v>
      </c>
      <c r="C250" t="s">
        <v>287</v>
      </c>
      <c r="D250" t="s">
        <v>271</v>
      </c>
      <c r="E250" t="s">
        <v>287</v>
      </c>
      <c r="F250">
        <v>1145</v>
      </c>
      <c r="G250" t="s">
        <v>955</v>
      </c>
      <c r="H250" t="s">
        <v>716</v>
      </c>
      <c r="I250" t="s">
        <v>350</v>
      </c>
      <c r="J250" t="s">
        <v>734</v>
      </c>
      <c r="K250">
        <v>19.989999999999998</v>
      </c>
      <c r="L250" t="s">
        <v>276</v>
      </c>
      <c r="M250">
        <f>Table1[[#This Row],[Sales Volume]]*Table1[[#This Row],[price(USD)]]</f>
        <v>22888.55</v>
      </c>
      <c r="N250" t="s">
        <v>1093</v>
      </c>
      <c r="O250" t="s">
        <v>278</v>
      </c>
      <c r="P250" t="str">
        <f>HYPERLINK(Table1[[#This Row],[url]],Table1[[#This Row],[name]])</f>
        <v>FAUX SUEDE BOMBER JACKET</v>
      </c>
      <c r="Q250" t="str">
        <f>IF(Table1[[#This Row],[price(USD)]]&gt;295.33,"Premimum",IF(Table1[[#This Row],[price(USD)]]&gt;151.66,"Mid Range","Budget"))</f>
        <v>Budget</v>
      </c>
      <c r="R250" t="str">
        <f>IF(Table1[[#This Row],[Sales Volume]]&gt;2169,"Best Seller",IF(Table1[[#This Row],[Sales Volume]]&gt;1349,"Average","Slow seller"))</f>
        <v>Slow seller</v>
      </c>
    </row>
    <row r="251" spans="1:18">
      <c r="A251">
        <v>185307</v>
      </c>
      <c r="B251" t="s">
        <v>307</v>
      </c>
      <c r="C251" t="s">
        <v>270</v>
      </c>
      <c r="D251" t="s">
        <v>271</v>
      </c>
      <c r="E251" t="s">
        <v>287</v>
      </c>
      <c r="F251">
        <v>2743</v>
      </c>
      <c r="G251" t="s">
        <v>1007</v>
      </c>
      <c r="H251" t="s">
        <v>1008</v>
      </c>
      <c r="I251" t="s">
        <v>1009</v>
      </c>
      <c r="J251" t="s">
        <v>1010</v>
      </c>
      <c r="K251">
        <v>7.99</v>
      </c>
      <c r="L251" t="s">
        <v>276</v>
      </c>
      <c r="M251">
        <f>Table1[[#This Row],[Sales Volume]]*Table1[[#This Row],[price(USD)]]</f>
        <v>21916.57</v>
      </c>
      <c r="N251" t="s">
        <v>893</v>
      </c>
      <c r="O251" t="s">
        <v>894</v>
      </c>
      <c r="P251" t="str">
        <f>HYPERLINK(Table1[[#This Row],[url]],Table1[[#This Row],[name]])</f>
        <v>BASIC 100% WOOL SWEATER</v>
      </c>
      <c r="Q251" t="str">
        <f>IF(Table1[[#This Row],[price(USD)]]&gt;295.33,"Premimum",IF(Table1[[#This Row],[price(USD)]]&gt;151.66,"Mid Range","Budget"))</f>
        <v>Budget</v>
      </c>
      <c r="R251" t="str">
        <f>IF(Table1[[#This Row],[Sales Volume]]&gt;2169,"Best Seller",IF(Table1[[#This Row],[Sales Volume]]&gt;1349,"Average","Slow seller"))</f>
        <v>Best Seller</v>
      </c>
    </row>
    <row r="252" spans="1:18">
      <c r="A252">
        <v>171776</v>
      </c>
      <c r="B252" t="s">
        <v>269</v>
      </c>
      <c r="C252" t="s">
        <v>287</v>
      </c>
      <c r="D252" t="s">
        <v>271</v>
      </c>
      <c r="E252" t="s">
        <v>270</v>
      </c>
      <c r="F252">
        <v>1685</v>
      </c>
      <c r="G252" t="s">
        <v>1061</v>
      </c>
      <c r="H252" t="s">
        <v>1062</v>
      </c>
      <c r="I252" t="s">
        <v>1063</v>
      </c>
      <c r="J252" t="s">
        <v>1064</v>
      </c>
      <c r="K252">
        <v>12.99</v>
      </c>
      <c r="L252" t="s">
        <v>276</v>
      </c>
      <c r="M252">
        <f>Table1[[#This Row],[Sales Volume]]*Table1[[#This Row],[price(USD)]]</f>
        <v>21888.15</v>
      </c>
      <c r="N252" t="s">
        <v>1042</v>
      </c>
      <c r="O252" t="s">
        <v>278</v>
      </c>
      <c r="P252" t="str">
        <f>HYPERLINK(Table1[[#This Row],[url]],Table1[[#This Row],[name]])</f>
        <v>DENIM SHIRT</v>
      </c>
      <c r="Q252" t="str">
        <f>IF(Table1[[#This Row],[price(USD)]]&gt;295.33,"Premimum",IF(Table1[[#This Row],[price(USD)]]&gt;151.66,"Mid Range","Budget"))</f>
        <v>Budget</v>
      </c>
      <c r="R252" t="str">
        <f>IF(Table1[[#This Row],[Sales Volume]]&gt;2169,"Best Seller",IF(Table1[[#This Row],[Sales Volume]]&gt;1349,"Average","Slow seller"))</f>
        <v>Average</v>
      </c>
    </row>
    <row r="253" spans="1:18">
      <c r="A253">
        <v>136738</v>
      </c>
      <c r="B253" t="s">
        <v>307</v>
      </c>
      <c r="C253" t="s">
        <v>270</v>
      </c>
      <c r="D253" t="s">
        <v>271</v>
      </c>
      <c r="E253" t="s">
        <v>287</v>
      </c>
      <c r="F253">
        <v>542</v>
      </c>
      <c r="G253" t="s">
        <v>899</v>
      </c>
      <c r="H253" t="s">
        <v>900</v>
      </c>
      <c r="I253" t="s">
        <v>901</v>
      </c>
      <c r="J253" t="s">
        <v>902</v>
      </c>
      <c r="K253">
        <v>7.99</v>
      </c>
      <c r="L253" t="s">
        <v>276</v>
      </c>
      <c r="M253">
        <f>Table1[[#This Row],[Sales Volume]]*Table1[[#This Row],[price(USD)]]</f>
        <v>4330.58</v>
      </c>
      <c r="N253" t="s">
        <v>893</v>
      </c>
      <c r="O253" t="s">
        <v>894</v>
      </c>
      <c r="P253" t="str">
        <f>HYPERLINK(Table1[[#This Row],[url]],Table1[[#This Row],[name]])</f>
        <v>HIGH COLLAR KNIT SWEATER</v>
      </c>
      <c r="Q253" t="str">
        <f>IF(Table1[[#This Row],[price(USD)]]&gt;295.33,"Premimum",IF(Table1[[#This Row],[price(USD)]]&gt;151.66,"Mid Range","Budget"))</f>
        <v>Budget</v>
      </c>
      <c r="R253" t="str">
        <f>IF(Table1[[#This Row],[Sales Volume]]&gt;2169,"Best Seller",IF(Table1[[#This Row],[Sales Volume]]&gt;1349,"Average","Slow seller"))</f>
        <v>Slow seller</v>
      </c>
    </row>
  </sheetData>
  <hyperlinks>
    <hyperlink ref="G215" r:id="rId1"/>
    <hyperlink ref="G2" r:id="rId2"/>
  </hyperlinks>
  <pageMargins left="0.7" right="0.7" top="0.75" bottom="0.75" header="0.3" footer="0.3"/>
  <pageSetup orientation="portrait"/>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topLeftCell="A34" workbookViewId="0">
      <selection activeCell="A40" sqref="A40:F46"/>
    </sheetView>
  </sheetViews>
  <sheetFormatPr defaultRowHeight="15"/>
  <sheetData>
    <row r="1" spans="1:2">
      <c r="A1" t="s">
        <v>1174</v>
      </c>
    </row>
    <row r="2" spans="1:2">
      <c r="A2" s="6">
        <v>38988476.479999974</v>
      </c>
    </row>
    <row r="4" spans="1:2">
      <c r="A4" t="s">
        <v>1175</v>
      </c>
    </row>
    <row r="5" spans="1:2">
      <c r="A5" s="6">
        <v>459573</v>
      </c>
    </row>
    <row r="6" spans="1:2">
      <c r="A6" s="8"/>
      <c r="B6" s="8"/>
    </row>
    <row r="7" spans="1:2">
      <c r="A7" s="8" t="s">
        <v>1176</v>
      </c>
      <c r="B7" s="8"/>
    </row>
    <row r="8" spans="1:2">
      <c r="A8" s="6">
        <v>86.252539682540089</v>
      </c>
    </row>
    <row r="10" spans="1:2">
      <c r="A10" t="s">
        <v>1177</v>
      </c>
    </row>
    <row r="11" spans="1:2">
      <c r="A11" s="6">
        <v>252</v>
      </c>
    </row>
    <row r="13" spans="1:2">
      <c r="A13" s="4" t="s">
        <v>1172</v>
      </c>
      <c r="B13" t="s">
        <v>1174</v>
      </c>
    </row>
    <row r="14" spans="1:2">
      <c r="A14" s="5" t="s">
        <v>277</v>
      </c>
      <c r="B14" s="6">
        <v>26581815.869999994</v>
      </c>
    </row>
    <row r="15" spans="1:2">
      <c r="A15" s="5" t="s">
        <v>1042</v>
      </c>
      <c r="B15" s="6">
        <v>864385.24999999988</v>
      </c>
    </row>
    <row r="16" spans="1:2">
      <c r="A16" s="5" t="s">
        <v>774</v>
      </c>
      <c r="B16" s="6">
        <v>3754837.6300000004</v>
      </c>
    </row>
    <row r="17" spans="1:2">
      <c r="A17" s="5" t="s">
        <v>893</v>
      </c>
      <c r="B17" s="6">
        <v>4090631.4799999995</v>
      </c>
    </row>
    <row r="18" spans="1:2">
      <c r="A18" s="5" t="s">
        <v>1093</v>
      </c>
      <c r="B18" s="6">
        <v>3696806.25</v>
      </c>
    </row>
    <row r="19" spans="1:2">
      <c r="A19" s="5" t="s">
        <v>1173</v>
      </c>
      <c r="B19" s="6">
        <v>38988476.479999989</v>
      </c>
    </row>
    <row r="21" spans="1:2">
      <c r="A21" s="4" t="s">
        <v>1172</v>
      </c>
      <c r="B21" t="s">
        <v>1175</v>
      </c>
    </row>
    <row r="22" spans="1:2">
      <c r="A22" s="5" t="s">
        <v>269</v>
      </c>
      <c r="B22" s="6">
        <v>177396</v>
      </c>
    </row>
    <row r="23" spans="1:2">
      <c r="A23" s="5" t="s">
        <v>286</v>
      </c>
      <c r="B23" s="6">
        <v>152930</v>
      </c>
    </row>
    <row r="24" spans="1:2">
      <c r="A24" s="5" t="s">
        <v>307</v>
      </c>
      <c r="B24" s="6">
        <v>129247</v>
      </c>
    </row>
    <row r="25" spans="1:2">
      <c r="A25" s="5" t="s">
        <v>1173</v>
      </c>
      <c r="B25" s="6">
        <v>459573</v>
      </c>
    </row>
    <row r="27" spans="1:2">
      <c r="A27" s="4" t="s">
        <v>1172</v>
      </c>
      <c r="B27" t="s">
        <v>1174</v>
      </c>
    </row>
    <row r="28" spans="1:2">
      <c r="A28" s="5" t="s">
        <v>270</v>
      </c>
      <c r="B28" s="6">
        <v>18994089.579999998</v>
      </c>
    </row>
    <row r="29" spans="1:2">
      <c r="A29" s="5" t="s">
        <v>287</v>
      </c>
      <c r="B29" s="6">
        <v>19994386.899999991</v>
      </c>
    </row>
    <row r="30" spans="1:2">
      <c r="A30" s="5" t="s">
        <v>1173</v>
      </c>
      <c r="B30" s="6">
        <v>38988476.479999989</v>
      </c>
    </row>
    <row r="32" spans="1:2">
      <c r="A32" s="4" t="s">
        <v>1172</v>
      </c>
      <c r="B32" t="s">
        <v>1175</v>
      </c>
    </row>
    <row r="33" spans="1:5">
      <c r="A33" s="5" t="s">
        <v>277</v>
      </c>
      <c r="B33" s="6">
        <v>259468</v>
      </c>
    </row>
    <row r="34" spans="1:5">
      <c r="A34" s="5" t="s">
        <v>1042</v>
      </c>
      <c r="B34" s="6">
        <v>13320</v>
      </c>
    </row>
    <row r="35" spans="1:5">
      <c r="A35" s="5" t="s">
        <v>774</v>
      </c>
      <c r="B35" s="6">
        <v>57906</v>
      </c>
    </row>
    <row r="36" spans="1:5">
      <c r="A36" s="5" t="s">
        <v>893</v>
      </c>
      <c r="B36" s="6">
        <v>75242</v>
      </c>
    </row>
    <row r="37" spans="1:5">
      <c r="A37" s="5" t="s">
        <v>1093</v>
      </c>
      <c r="B37" s="6">
        <v>53637</v>
      </c>
    </row>
    <row r="38" spans="1:5">
      <c r="A38" s="5" t="s">
        <v>1173</v>
      </c>
      <c r="B38" s="6">
        <v>459573</v>
      </c>
    </row>
    <row r="41" spans="1:5">
      <c r="A41" s="4" t="s">
        <v>1184</v>
      </c>
      <c r="B41" s="4" t="s">
        <v>1179</v>
      </c>
    </row>
    <row r="42" spans="1:5">
      <c r="A42" s="4" t="s">
        <v>1172</v>
      </c>
      <c r="B42" t="s">
        <v>1182</v>
      </c>
      <c r="C42" t="s">
        <v>1180</v>
      </c>
      <c r="D42" t="s">
        <v>1181</v>
      </c>
      <c r="E42" t="s">
        <v>1173</v>
      </c>
    </row>
    <row r="43" spans="1:5">
      <c r="A43" s="5" t="s">
        <v>292</v>
      </c>
      <c r="B43" s="6">
        <v>62</v>
      </c>
      <c r="C43" s="6">
        <v>85</v>
      </c>
      <c r="D43" s="6">
        <v>82</v>
      </c>
      <c r="E43" s="6">
        <v>229</v>
      </c>
    </row>
    <row r="44" spans="1:5">
      <c r="A44" s="5" t="s">
        <v>1178</v>
      </c>
      <c r="B44" s="6">
        <v>7</v>
      </c>
      <c r="C44" s="6">
        <v>4</v>
      </c>
      <c r="D44" s="6">
        <v>8</v>
      </c>
      <c r="E44" s="6">
        <v>19</v>
      </c>
    </row>
    <row r="45" spans="1:5">
      <c r="A45" s="5" t="s">
        <v>294</v>
      </c>
      <c r="B45" s="6">
        <v>2</v>
      </c>
      <c r="C45" s="6">
        <v>1</v>
      </c>
      <c r="D45" s="6">
        <v>1</v>
      </c>
      <c r="E45" s="6">
        <v>4</v>
      </c>
    </row>
    <row r="46" spans="1:5">
      <c r="A46" s="5" t="s">
        <v>1173</v>
      </c>
      <c r="B46" s="6">
        <v>71</v>
      </c>
      <c r="C46" s="6">
        <v>90</v>
      </c>
      <c r="D46" s="6">
        <v>91</v>
      </c>
      <c r="E46" s="6">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zara(unclean)</vt:lpstr>
      <vt:lpstr>zara</vt:lpstr>
      <vt:lpstr>Pivot tables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2026-05-11T15:08:47Z</dcterms:created>
  <dcterms:modified xsi:type="dcterms:W3CDTF">2026-05-12T16:30:07Z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C3EA5C7E8B7842008BB95316A553660F_12</vt:lpwstr>
  </property>
  <property fmtid="{D5CDD505-2E9C-101B-9397-08002B2CF9AE}" pid="3" name="KSOProductBuildVer">
    <vt:lpwstr>1033-12.1.0.25862</vt:lpwstr>
  </property>
  <property fmtid="{D5CDD505-2E9C-101B-9397-08002B2CF9AE}" pid="4" name="CalculationRule">
    <vt:i4>0</vt:i4>
  </property>
</Properties>
</file>